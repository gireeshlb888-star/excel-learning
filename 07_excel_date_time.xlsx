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kha_2ifkq5d\Downloads\"/>
    </mc:Choice>
  </mc:AlternateContent>
  <xr:revisionPtr revIDLastSave="0" documentId="13_ncr:1_{ABE114E4-A322-4570-986B-52BCEFAFBCB3}" xr6:coauthVersionLast="47" xr6:coauthVersionMax="47" xr10:uidLastSave="{00000000-0000-0000-0000-000000000000}"/>
  <bookViews>
    <workbookView xWindow="-110" yWindow="-110" windowWidth="19420" windowHeight="10300" activeTab="6" xr2:uid="{13ADFBF5-5E7E-4008-982D-990C29EBDF40}"/>
  </bookViews>
  <sheets>
    <sheet name="TODAY" sheetId="1" r:id="rId1"/>
    <sheet name="NOW" sheetId="2" r:id="rId2"/>
    <sheet name="DATE" sheetId="3" r:id="rId3"/>
    <sheet name="DAY" sheetId="4" r:id="rId4"/>
    <sheet name="MONTH" sheetId="5" r:id="rId5"/>
    <sheet name="YEAR" sheetId="6" r:id="rId6"/>
    <sheet name="DATEDIF" sheetId="7" r:id="rId7"/>
    <sheet name="DATEDIF (A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2" i="8"/>
  <c r="D3" i="8"/>
  <c r="D4" i="8"/>
  <c r="D5" i="8"/>
  <c r="D6" i="8"/>
  <c r="D2" i="8"/>
  <c r="D2" i="7"/>
  <c r="D3" i="7"/>
  <c r="D4" i="7"/>
  <c r="D5" i="7"/>
  <c r="D6" i="7"/>
  <c r="C3" i="6"/>
  <c r="C4" i="6"/>
  <c r="C5" i="6"/>
  <c r="C6" i="6"/>
  <c r="C2" i="6"/>
  <c r="H2" i="2"/>
  <c r="G6" i="5"/>
  <c r="G5" i="5"/>
  <c r="C3" i="5"/>
  <c r="C4" i="5"/>
  <c r="C5" i="5"/>
  <c r="C6" i="5"/>
  <c r="C2" i="5"/>
  <c r="C3" i="4"/>
  <c r="C4" i="4"/>
  <c r="C5" i="4"/>
  <c r="C6" i="4"/>
  <c r="C2" i="4"/>
  <c r="E3" i="3"/>
  <c r="E4" i="3"/>
  <c r="E5" i="3"/>
  <c r="E6" i="3"/>
  <c r="E2" i="3"/>
  <c r="F2" i="1"/>
  <c r="L2" i="1"/>
  <c r="F3" i="8" l="1"/>
  <c r="F6" i="8"/>
  <c r="F4" i="8"/>
  <c r="F5" i="8"/>
  <c r="F2" i="8"/>
</calcChain>
</file>

<file path=xl/sharedStrings.xml><?xml version="1.0" encoding="utf-8"?>
<sst xmlns="http://schemas.openxmlformats.org/spreadsheetml/2006/main" count="236" uniqueCount="164">
  <si>
    <t>Employee_ID</t>
  </si>
  <si>
    <t>Name</t>
  </si>
  <si>
    <t>Joining_Date</t>
  </si>
  <si>
    <t>E101</t>
  </si>
  <si>
    <t>Ravi</t>
  </si>
  <si>
    <t>E102</t>
  </si>
  <si>
    <t>Anita</t>
  </si>
  <si>
    <t>E103</t>
  </si>
  <si>
    <t>Kiran</t>
  </si>
  <si>
    <t>E104</t>
  </si>
  <si>
    <t>Meena</t>
  </si>
  <si>
    <t>E105</t>
  </si>
  <si>
    <t>Suresh</t>
  </si>
  <si>
    <t>Function</t>
  </si>
  <si>
    <t>Syntax</t>
  </si>
  <si>
    <t>When to Use</t>
  </si>
  <si>
    <t>Example Formula</t>
  </si>
  <si>
    <t>TODAY</t>
  </si>
  <si>
    <t>To get current date automatically</t>
  </si>
  <si>
    <t>E1</t>
  </si>
  <si>
    <t>Today_Date</t>
  </si>
  <si>
    <t>E2</t>
  </si>
  <si>
    <t>Log_ID</t>
  </si>
  <si>
    <t>User_Name</t>
  </si>
  <si>
    <t>Login_Date</t>
  </si>
  <si>
    <t>L01</t>
  </si>
  <si>
    <t>Giri</t>
  </si>
  <si>
    <t>L02</t>
  </si>
  <si>
    <t>L03</t>
  </si>
  <si>
    <t>L04</t>
  </si>
  <si>
    <t>L05</t>
  </si>
  <si>
    <t>NOW</t>
  </si>
  <si>
    <r>
      <t xml:space="preserve">When date </t>
    </r>
    <r>
      <rPr>
        <b/>
        <sz val="11"/>
        <color theme="1"/>
        <rFont val="Calibri"/>
        <family val="2"/>
        <scheme val="minor"/>
      </rPr>
      <t>and time</t>
    </r>
    <r>
      <rPr>
        <sz val="11"/>
        <color theme="1"/>
        <rFont val="Calibri"/>
        <family val="2"/>
        <scheme val="minor"/>
      </rPr>
      <t xml:space="preserve"> are required</t>
    </r>
  </si>
  <si>
    <t>TODAY()</t>
  </si>
  <si>
    <t>NOW()</t>
  </si>
  <si>
    <t>Date only</t>
  </si>
  <si>
    <t>Date + Time</t>
  </si>
  <si>
    <t>No time</t>
  </si>
  <si>
    <t>Time included</t>
  </si>
  <si>
    <t>Used for age/experience</t>
  </si>
  <si>
    <t>Used for login, punch, tracking</t>
  </si>
  <si>
    <t>Task</t>
  </si>
  <si>
    <t>Formula to Type</t>
  </si>
  <si>
    <t>Result</t>
  </si>
  <si>
    <t>Get current date &amp; time</t>
  </si>
  <si>
    <t>Shows today’s date with current time</t>
  </si>
  <si>
    <t>Order_ID</t>
  </si>
  <si>
    <t>Order_Year</t>
  </si>
  <si>
    <t>Order_Month</t>
  </si>
  <si>
    <t>Order_Day</t>
  </si>
  <si>
    <t>O201</t>
  </si>
  <si>
    <t>O202</t>
  </si>
  <si>
    <t>O203</t>
  </si>
  <si>
    <t>O204</t>
  </si>
  <si>
    <t>O205</t>
  </si>
  <si>
    <t>Example</t>
  </si>
  <si>
    <t>DATE</t>
  </si>
  <si>
    <t>To combine year, month, day into one date</t>
  </si>
  <si>
    <t>=DATE(year,month,day)</t>
  </si>
  <si>
    <t>Full-Date</t>
  </si>
  <si>
    <t>Create a date manually</t>
  </si>
  <si>
    <t>Combine Y-M-D from cells</t>
  </si>
  <si>
    <t>Invoice_ID</t>
  </si>
  <si>
    <t>Invoice_Date</t>
  </si>
  <si>
    <t>I301</t>
  </si>
  <si>
    <t>I302</t>
  </si>
  <si>
    <t>I303</t>
  </si>
  <si>
    <t>I304</t>
  </si>
  <si>
    <t>I305</t>
  </si>
  <si>
    <t>DAY</t>
  </si>
  <si>
    <t>To get day number from a date</t>
  </si>
  <si>
    <t>Get day from a date</t>
  </si>
  <si>
    <t>Get day from cell</t>
  </si>
  <si>
    <t>=DAY(date)</t>
  </si>
  <si>
    <t>Day_Number</t>
  </si>
  <si>
    <t>=DAY(A2)</t>
  </si>
  <si>
    <t>Payment_ID</t>
  </si>
  <si>
    <t>Payment_Date</t>
  </si>
  <si>
    <t>P401</t>
  </si>
  <si>
    <t>P402</t>
  </si>
  <si>
    <t>P403</t>
  </si>
  <si>
    <t>P404</t>
  </si>
  <si>
    <t>P405</t>
  </si>
  <si>
    <t>MONTH</t>
  </si>
  <si>
    <t>=MONTH(date)</t>
  </si>
  <si>
    <t>=MONTH(B2)</t>
  </si>
  <si>
    <t>Month number</t>
  </si>
  <si>
    <t>Month_Number</t>
  </si>
  <si>
    <t>Extract month number from a date</t>
  </si>
  <si>
    <t>Full month name</t>
  </si>
  <si>
    <t>Short month name</t>
  </si>
  <si>
    <t>=TEXT(date,"mmmm")</t>
  </si>
  <si>
    <t>=TEXT(date,"mmm")</t>
  </si>
  <si>
    <t>1–12</t>
  </si>
  <si>
    <t>January</t>
  </si>
  <si>
    <t>Jan</t>
  </si>
  <si>
    <t>Formula</t>
  </si>
  <si>
    <t>Output</t>
  </si>
  <si>
    <t>Numeric month (2-digit)</t>
  </si>
  <si>
    <t>=TEXT(B2,"mmmm")</t>
  </si>
  <si>
    <t>=TEXT(B2,"mmm")</t>
  </si>
  <si>
    <t>=TEXT(B2,"mm")</t>
  </si>
  <si>
    <t>=DAY(DATE(1998,4,8))</t>
  </si>
  <si>
    <t>=DAY(C3)</t>
  </si>
  <si>
    <t>=DATE(2028,11,11)</t>
  </si>
  <si>
    <t>=DATE(B6,C5,D4)</t>
  </si>
  <si>
    <t>=NOW()</t>
  </si>
  <si>
    <t>=TODAY()</t>
  </si>
  <si>
    <t>=DATE(2025,12,15)</t>
  </si>
  <si>
    <t>01</t>
  </si>
  <si>
    <t>DOJ (Joining_Date)</t>
  </si>
  <si>
    <t>E201</t>
  </si>
  <si>
    <t>E202</t>
  </si>
  <si>
    <t>E203</t>
  </si>
  <si>
    <t>E204</t>
  </si>
  <si>
    <t>E205</t>
  </si>
  <si>
    <t>Year_value</t>
  </si>
  <si>
    <t>YEAR</t>
  </si>
  <si>
    <t>Extract year from a date</t>
  </si>
  <si>
    <t>=YEAR(date)</t>
  </si>
  <si>
    <t>=YEAR(B2)</t>
  </si>
  <si>
    <t>Get year from cell</t>
  </si>
  <si>
    <t>Get year manually</t>
  </si>
  <si>
    <t>=YEAR(B3)</t>
  </si>
  <si>
    <t>=YEAR(DATE(1998,8,4))</t>
  </si>
  <si>
    <t>E301</t>
  </si>
  <si>
    <t>E302</t>
  </si>
  <si>
    <t>E303</t>
  </si>
  <si>
    <t>E304</t>
  </si>
  <si>
    <t>E305</t>
  </si>
  <si>
    <t>DATEDIF</t>
  </si>
  <si>
    <t>Calculate difference between two dates</t>
  </si>
  <si>
    <t>=DATEDIF(start_date,end_date,unit)</t>
  </si>
  <si>
    <t>=DATEDIF(B2,TODAY(),"Y")</t>
  </si>
  <si>
    <t>Unit</t>
  </si>
  <si>
    <t>Meaning</t>
  </si>
  <si>
    <t>"Y"</t>
  </si>
  <si>
    <t>Completed years</t>
  </si>
  <si>
    <t>"M"</t>
  </si>
  <si>
    <t>Completed months</t>
  </si>
  <si>
    <t>"D"</t>
  </si>
  <si>
    <t>Total days</t>
  </si>
  <si>
    <t>"YM"</t>
  </si>
  <si>
    <t>Months excluding years</t>
  </si>
  <si>
    <t>"MD"</t>
  </si>
  <si>
    <t>Days excluding months</t>
  </si>
  <si>
    <t>"YD"</t>
  </si>
  <si>
    <t>Days excluding years</t>
  </si>
  <si>
    <t>Experience_Years</t>
  </si>
  <si>
    <t>Experience in years</t>
  </si>
  <si>
    <t>Years</t>
  </si>
  <si>
    <t>Experience in months</t>
  </si>
  <si>
    <t>Months</t>
  </si>
  <si>
    <t>Experience in days</t>
  </si>
  <si>
    <t>Years + remaining months</t>
  </si>
  <si>
    <t>5 Years 8 Months</t>
  </si>
  <si>
    <t>=DATEDIF(C2,TODAY(),"Y")</t>
  </si>
  <si>
    <t>=DATEDIF(C2,TODAY(),"M")</t>
  </si>
  <si>
    <t>=DATEDIF(C2,TODAY(),"D")</t>
  </si>
  <si>
    <t>=DATEDIF(C2,TODAY(),"Y") &amp; " Years " &amp; DATEDIF(C2,TODAY(),"YM") &amp; " Months"</t>
  </si>
  <si>
    <t>2009 Days</t>
  </si>
  <si>
    <t>66 Months</t>
  </si>
  <si>
    <t>5 Years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</si>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</sst>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14" fontId="2" fillId="0" borderId="1" xfId="0" quotePrefix="1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2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481E-B77B-49D2-810D-176E2A73AC3F}">
  <dimension ref="A1:L6"/>
  <sheetViews>
    <sheetView workbookViewId="0">
      <selection activeCell="I3" sqref="I3"/>
    </sheetView>
  </sheetViews>
  <sheetFormatPr defaultRowHeight="36.5" customHeight="1"/>
  <cols>
    <col min="1" max="1" width="12.81640625" customWidth="1"/>
    <col min="2" max="2" width="7.90625" customWidth="1"/>
    <col min="3" max="3" width="13.7265625" customWidth="1"/>
    <col min="6" max="6" width="11.90625" customWidth="1"/>
    <col min="7" max="7" width="8.08984375" bestFit="1" customWidth="1"/>
    <col min="8" max="8" width="10.08984375" bestFit="1" customWidth="1"/>
    <col min="9" max="9" width="16.1796875" customWidth="1"/>
    <col min="10" max="10" width="10.7265625" customWidth="1"/>
    <col min="11" max="11" width="26.6328125" customWidth="1"/>
    <col min="12" max="12" width="10.08984375" bestFit="1" customWidth="1"/>
  </cols>
  <sheetData>
    <row r="1" spans="1:12" ht="36.5" customHeight="1">
      <c r="A1" s="5" t="s">
        <v>0</v>
      </c>
      <c r="B1" s="5" t="s">
        <v>1</v>
      </c>
      <c r="C1" s="5" t="s">
        <v>2</v>
      </c>
      <c r="E1" s="5" t="s">
        <v>19</v>
      </c>
      <c r="F1" s="5" t="s">
        <v>20</v>
      </c>
      <c r="I1" s="5" t="s">
        <v>13</v>
      </c>
      <c r="J1" s="5" t="s">
        <v>14</v>
      </c>
      <c r="K1" s="5" t="s">
        <v>15</v>
      </c>
      <c r="L1" s="5" t="s">
        <v>16</v>
      </c>
    </row>
    <row r="2" spans="1:12" ht="36.5" customHeight="1">
      <c r="A2" s="2" t="s">
        <v>3</v>
      </c>
      <c r="B2" s="2" t="s">
        <v>4</v>
      </c>
      <c r="C2" s="3">
        <v>43997</v>
      </c>
      <c r="E2" s="1" t="s">
        <v>21</v>
      </c>
      <c r="F2" s="4">
        <f ca="1">TODAY()</f>
        <v>46006</v>
      </c>
      <c r="I2" s="2" t="s">
        <v>17</v>
      </c>
      <c r="J2" s="10" t="s">
        <v>107</v>
      </c>
      <c r="K2" s="2" t="s">
        <v>18</v>
      </c>
      <c r="L2" s="4">
        <f ca="1">TODAY()</f>
        <v>46006</v>
      </c>
    </row>
    <row r="3" spans="1:12" ht="36.5" customHeight="1">
      <c r="A3" s="2" t="s">
        <v>5</v>
      </c>
      <c r="B3" s="2" t="s">
        <v>6</v>
      </c>
      <c r="C3" s="3">
        <v>43101</v>
      </c>
    </row>
    <row r="4" spans="1:12" ht="36.5" customHeight="1">
      <c r="A4" s="2" t="s">
        <v>7</v>
      </c>
      <c r="B4" s="2" t="s">
        <v>8</v>
      </c>
      <c r="C4" s="3">
        <v>44885</v>
      </c>
    </row>
    <row r="5" spans="1:12" ht="36.5" customHeight="1">
      <c r="A5" s="2" t="s">
        <v>9</v>
      </c>
      <c r="B5" s="2" t="s">
        <v>10</v>
      </c>
      <c r="C5" s="3">
        <v>42073</v>
      </c>
    </row>
    <row r="6" spans="1:12" ht="36.5" customHeight="1">
      <c r="A6" s="2" t="s">
        <v>11</v>
      </c>
      <c r="B6" s="2" t="s">
        <v>12</v>
      </c>
      <c r="C6" s="3">
        <v>43671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2B07-8B5E-48B0-B77D-B915BC331E1F}">
  <dimension ref="A1:K8"/>
  <sheetViews>
    <sheetView workbookViewId="0">
      <selection activeCell="H3" sqref="H3"/>
    </sheetView>
  </sheetViews>
  <sheetFormatPr defaultRowHeight="30" customHeight="1"/>
  <cols>
    <col min="2" max="2" width="15.26953125" bestFit="1" customWidth="1"/>
    <col min="3" max="3" width="10.1796875" bestFit="1" customWidth="1"/>
    <col min="6" max="6" width="23.36328125" customWidth="1"/>
    <col min="7" max="7" width="17.36328125" customWidth="1"/>
    <col min="8" max="8" width="32.453125" customWidth="1"/>
    <col min="9" max="9" width="8.90625" customWidth="1"/>
    <col min="10" max="10" width="15.81640625" customWidth="1"/>
    <col min="11" max="11" width="17.6328125" customWidth="1"/>
    <col min="12" max="12" width="21.7265625" customWidth="1"/>
  </cols>
  <sheetData>
    <row r="1" spans="1:11" ht="30" customHeight="1">
      <c r="A1" s="5" t="s">
        <v>22</v>
      </c>
      <c r="B1" s="5" t="s">
        <v>23</v>
      </c>
      <c r="C1" s="5" t="s">
        <v>24</v>
      </c>
      <c r="E1" s="5" t="s">
        <v>13</v>
      </c>
      <c r="F1" s="5" t="s">
        <v>14</v>
      </c>
      <c r="G1" s="5" t="s">
        <v>15</v>
      </c>
      <c r="H1" s="6" t="s">
        <v>16</v>
      </c>
      <c r="J1" s="5" t="s">
        <v>33</v>
      </c>
      <c r="K1" s="5" t="s">
        <v>34</v>
      </c>
    </row>
    <row r="2" spans="1:11" ht="30" customHeight="1">
      <c r="A2" s="2" t="s">
        <v>25</v>
      </c>
      <c r="B2" s="2" t="s">
        <v>26</v>
      </c>
      <c r="C2" s="3">
        <v>46006</v>
      </c>
      <c r="E2" s="2" t="s">
        <v>31</v>
      </c>
      <c r="F2" s="20" t="s">
        <v>106</v>
      </c>
      <c r="G2" s="2" t="s">
        <v>32</v>
      </c>
      <c r="H2" s="20">
        <f ca="1">NOW()</f>
        <v>46006.705219212963</v>
      </c>
      <c r="J2" s="2" t="s">
        <v>35</v>
      </c>
      <c r="K2" s="2" t="s">
        <v>36</v>
      </c>
    </row>
    <row r="3" spans="1:11" ht="39" customHeight="1">
      <c r="A3" s="2" t="s">
        <v>27</v>
      </c>
      <c r="B3" s="2" t="s">
        <v>4</v>
      </c>
      <c r="C3" s="3">
        <v>46006</v>
      </c>
      <c r="J3" s="2" t="s">
        <v>37</v>
      </c>
      <c r="K3" s="2" t="s">
        <v>38</v>
      </c>
    </row>
    <row r="4" spans="1:11" ht="48.5" customHeight="1">
      <c r="A4" s="2" t="s">
        <v>28</v>
      </c>
      <c r="B4" s="2" t="s">
        <v>6</v>
      </c>
      <c r="C4" s="3">
        <v>46006</v>
      </c>
      <c r="J4" s="2" t="s">
        <v>39</v>
      </c>
      <c r="K4" s="2" t="s">
        <v>40</v>
      </c>
    </row>
    <row r="5" spans="1:11" ht="30" customHeight="1">
      <c r="A5" s="2" t="s">
        <v>29</v>
      </c>
      <c r="B5" s="2" t="s">
        <v>8</v>
      </c>
      <c r="C5" s="3">
        <v>46006</v>
      </c>
    </row>
    <row r="6" spans="1:11" ht="30" customHeight="1">
      <c r="A6" s="2" t="s">
        <v>30</v>
      </c>
      <c r="B6" s="2" t="s">
        <v>10</v>
      </c>
      <c r="C6" s="3">
        <v>46006</v>
      </c>
    </row>
    <row r="7" spans="1:11" ht="30" customHeight="1">
      <c r="F7" s="5" t="s">
        <v>41</v>
      </c>
      <c r="G7" s="5" t="s">
        <v>42</v>
      </c>
      <c r="H7" s="5" t="s">
        <v>43</v>
      </c>
    </row>
    <row r="8" spans="1:11" ht="30" customHeight="1">
      <c r="F8" s="2" t="s">
        <v>44</v>
      </c>
      <c r="G8" s="20" t="s">
        <v>106</v>
      </c>
      <c r="H8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24C4-9E4E-4C04-BF8B-45B2C2EF365A}">
  <dimension ref="A1:J7"/>
  <sheetViews>
    <sheetView workbookViewId="0">
      <selection activeCell="J3" sqref="J3"/>
    </sheetView>
  </sheetViews>
  <sheetFormatPr defaultRowHeight="33" customHeight="1"/>
  <cols>
    <col min="2" max="2" width="12.6328125" customWidth="1"/>
    <col min="3" max="3" width="12.7265625" customWidth="1"/>
    <col min="4" max="4" width="12.453125" customWidth="1"/>
    <col min="5" max="5" width="10.08984375" bestFit="1" customWidth="1"/>
    <col min="7" max="7" width="21.54296875" customWidth="1"/>
    <col min="8" max="8" width="20.453125" customWidth="1"/>
    <col min="9" max="9" width="37.6328125" customWidth="1"/>
    <col min="10" max="10" width="18.1796875" customWidth="1"/>
    <col min="11" max="11" width="25.26953125" customWidth="1"/>
    <col min="12" max="12" width="12.6328125" customWidth="1"/>
  </cols>
  <sheetData>
    <row r="1" spans="1:10" ht="33" customHeight="1">
      <c r="A1" s="5" t="s">
        <v>46</v>
      </c>
      <c r="B1" s="5" t="s">
        <v>47</v>
      </c>
      <c r="C1" s="5" t="s">
        <v>48</v>
      </c>
      <c r="D1" s="5" t="s">
        <v>49</v>
      </c>
      <c r="E1" s="5" t="s">
        <v>59</v>
      </c>
      <c r="G1" s="5" t="s">
        <v>13</v>
      </c>
      <c r="H1" s="5" t="s">
        <v>14</v>
      </c>
      <c r="I1" s="5" t="s">
        <v>15</v>
      </c>
      <c r="J1" s="5" t="s">
        <v>55</v>
      </c>
    </row>
    <row r="2" spans="1:10" ht="33" customHeight="1">
      <c r="A2" s="2" t="s">
        <v>50</v>
      </c>
      <c r="B2" s="2">
        <v>2023</v>
      </c>
      <c r="C2" s="2">
        <v>5</v>
      </c>
      <c r="D2" s="2">
        <v>12</v>
      </c>
      <c r="E2" s="11">
        <f>DATE(B2,C2,D2)</f>
        <v>45058</v>
      </c>
      <c r="G2" s="2" t="s">
        <v>56</v>
      </c>
      <c r="H2" s="10" t="s">
        <v>58</v>
      </c>
      <c r="I2" s="2" t="s">
        <v>57</v>
      </c>
      <c r="J2" s="10" t="s">
        <v>108</v>
      </c>
    </row>
    <row r="3" spans="1:10" ht="33" customHeight="1">
      <c r="A3" s="2" t="s">
        <v>51</v>
      </c>
      <c r="B3" s="2">
        <v>2022</v>
      </c>
      <c r="C3" s="2">
        <v>11</v>
      </c>
      <c r="D3" s="2">
        <v>3</v>
      </c>
      <c r="E3" s="11">
        <f t="shared" ref="E3:E6" si="0">DATE(B3,C3,D3)</f>
        <v>44868</v>
      </c>
    </row>
    <row r="4" spans="1:10" ht="33" customHeight="1">
      <c r="A4" s="2" t="s">
        <v>52</v>
      </c>
      <c r="B4" s="2">
        <v>2024</v>
      </c>
      <c r="C4" s="2">
        <v>1</v>
      </c>
      <c r="D4" s="2">
        <v>25</v>
      </c>
      <c r="E4" s="11">
        <f t="shared" si="0"/>
        <v>45316</v>
      </c>
    </row>
    <row r="5" spans="1:10" ht="33" customHeight="1">
      <c r="A5" s="2" t="s">
        <v>53</v>
      </c>
      <c r="B5" s="2">
        <v>2021</v>
      </c>
      <c r="C5" s="2">
        <v>7</v>
      </c>
      <c r="D5" s="2">
        <v>18</v>
      </c>
      <c r="E5" s="11">
        <f t="shared" si="0"/>
        <v>44395</v>
      </c>
      <c r="G5" s="5" t="s">
        <v>41</v>
      </c>
      <c r="H5" s="5" t="s">
        <v>42</v>
      </c>
      <c r="I5" s="5" t="s">
        <v>43</v>
      </c>
    </row>
    <row r="6" spans="1:10" ht="33" customHeight="1">
      <c r="A6" s="2" t="s">
        <v>54</v>
      </c>
      <c r="B6" s="2">
        <v>2025</v>
      </c>
      <c r="C6" s="2">
        <v>12</v>
      </c>
      <c r="D6" s="2">
        <v>15</v>
      </c>
      <c r="E6" s="11">
        <f t="shared" si="0"/>
        <v>46006</v>
      </c>
      <c r="G6" s="2" t="s">
        <v>60</v>
      </c>
      <c r="H6" s="10" t="s">
        <v>104</v>
      </c>
      <c r="I6" s="3">
        <v>47068</v>
      </c>
    </row>
    <row r="7" spans="1:10" ht="33" customHeight="1">
      <c r="G7" s="2" t="s">
        <v>61</v>
      </c>
      <c r="H7" s="10" t="s">
        <v>105</v>
      </c>
      <c r="I7" s="3">
        <v>45863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C6E7-DE6B-4BD0-A3E9-F15578897EEA}">
  <dimension ref="A1:I8"/>
  <sheetViews>
    <sheetView workbookViewId="0">
      <selection activeCell="J8" sqref="J8"/>
    </sheetView>
  </sheetViews>
  <sheetFormatPr defaultRowHeight="29.5" customHeight="1"/>
  <cols>
    <col min="1" max="1" width="14.1796875" customWidth="1"/>
    <col min="2" max="2" width="14" customWidth="1"/>
    <col min="3" max="3" width="11.81640625" bestFit="1" customWidth="1"/>
    <col min="5" max="5" width="8.7265625" customWidth="1"/>
    <col min="6" max="6" width="13.26953125" customWidth="1"/>
    <col min="7" max="7" width="30.90625" customWidth="1"/>
    <col min="8" max="8" width="22.81640625" customWidth="1"/>
    <col min="9" max="9" width="13.26953125" customWidth="1"/>
  </cols>
  <sheetData>
    <row r="1" spans="1:9" ht="29.5" customHeight="1">
      <c r="A1" s="5" t="s">
        <v>62</v>
      </c>
      <c r="B1" s="5" t="s">
        <v>63</v>
      </c>
      <c r="C1" s="16" t="s">
        <v>74</v>
      </c>
      <c r="E1" s="5" t="s">
        <v>13</v>
      </c>
      <c r="F1" s="5" t="s">
        <v>14</v>
      </c>
      <c r="G1" s="5" t="s">
        <v>15</v>
      </c>
      <c r="H1" s="5" t="s">
        <v>55</v>
      </c>
    </row>
    <row r="2" spans="1:9" ht="29.5" customHeight="1">
      <c r="A2" s="2" t="s">
        <v>64</v>
      </c>
      <c r="B2" s="3">
        <v>45058</v>
      </c>
      <c r="C2" s="15">
        <f>DAY(B2)</f>
        <v>12</v>
      </c>
      <c r="E2" s="2" t="s">
        <v>69</v>
      </c>
      <c r="F2" s="12" t="s">
        <v>73</v>
      </c>
      <c r="G2" s="2" t="s">
        <v>70</v>
      </c>
      <c r="H2" s="12" t="s">
        <v>75</v>
      </c>
    </row>
    <row r="3" spans="1:9" ht="29.5" customHeight="1">
      <c r="A3" s="2" t="s">
        <v>65</v>
      </c>
      <c r="B3" s="3">
        <v>44562</v>
      </c>
      <c r="C3" s="15">
        <f t="shared" ref="C3:C6" si="0">DAY(B3)</f>
        <v>1</v>
      </c>
    </row>
    <row r="4" spans="1:9" ht="29.5" customHeight="1">
      <c r="A4" s="2" t="s">
        <v>66</v>
      </c>
      <c r="B4" s="3">
        <v>45651</v>
      </c>
      <c r="C4" s="15">
        <f t="shared" si="0"/>
        <v>25</v>
      </c>
    </row>
    <row r="5" spans="1:9" ht="29.5" customHeight="1">
      <c r="A5" s="2" t="s">
        <v>67</v>
      </c>
      <c r="B5" s="3">
        <v>44384</v>
      </c>
      <c r="C5" s="15">
        <f t="shared" si="0"/>
        <v>7</v>
      </c>
    </row>
    <row r="6" spans="1:9" ht="29.5" customHeight="1">
      <c r="A6" s="2" t="s">
        <v>68</v>
      </c>
      <c r="B6" s="3">
        <v>45991</v>
      </c>
      <c r="C6" s="15">
        <f t="shared" si="0"/>
        <v>30</v>
      </c>
      <c r="G6" s="5" t="s">
        <v>41</v>
      </c>
      <c r="H6" s="5" t="s">
        <v>42</v>
      </c>
      <c r="I6" s="5" t="s">
        <v>43</v>
      </c>
    </row>
    <row r="7" spans="1:9" ht="29.5" customHeight="1">
      <c r="G7" s="2" t="s">
        <v>71</v>
      </c>
      <c r="H7" s="12" t="s">
        <v>102</v>
      </c>
      <c r="I7" s="2">
        <v>8</v>
      </c>
    </row>
    <row r="8" spans="1:9" ht="29.5" customHeight="1">
      <c r="G8" s="2" t="s">
        <v>72</v>
      </c>
      <c r="H8" s="12" t="s">
        <v>103</v>
      </c>
      <c r="I8" s="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0091-26DA-46CD-A3B3-0EC791EF3E2F}">
  <dimension ref="A1:H12"/>
  <sheetViews>
    <sheetView zoomScale="90" zoomScaleNormal="90" workbookViewId="0">
      <selection activeCell="H12" sqref="H12"/>
    </sheetView>
  </sheetViews>
  <sheetFormatPr defaultRowHeight="23" customHeight="1"/>
  <cols>
    <col min="1" max="1" width="11.08984375" customWidth="1"/>
    <col min="2" max="2" width="14.54296875" customWidth="1"/>
    <col min="3" max="3" width="14" customWidth="1"/>
    <col min="5" max="5" width="22.6328125" customWidth="1"/>
    <col min="6" max="6" width="22.1796875" customWidth="1"/>
    <col min="7" max="7" width="36.36328125" customWidth="1"/>
    <col min="8" max="8" width="15.08984375" customWidth="1"/>
  </cols>
  <sheetData>
    <row r="1" spans="1:8" ht="23" customHeight="1">
      <c r="A1" s="5" t="s">
        <v>76</v>
      </c>
      <c r="B1" s="5" t="s">
        <v>77</v>
      </c>
      <c r="C1" s="16" t="s">
        <v>87</v>
      </c>
      <c r="E1" s="5" t="s">
        <v>13</v>
      </c>
      <c r="F1" s="5" t="s">
        <v>14</v>
      </c>
      <c r="G1" s="5" t="s">
        <v>15</v>
      </c>
      <c r="H1" s="5" t="s">
        <v>55</v>
      </c>
    </row>
    <row r="2" spans="1:8" ht="23" customHeight="1">
      <c r="A2" s="7" t="s">
        <v>78</v>
      </c>
      <c r="B2" s="8">
        <v>44941</v>
      </c>
      <c r="C2" s="17">
        <f>MONTH(B2)</f>
        <v>1</v>
      </c>
      <c r="E2" s="2" t="s">
        <v>83</v>
      </c>
      <c r="F2" s="12" t="s">
        <v>84</v>
      </c>
      <c r="G2" s="2" t="s">
        <v>88</v>
      </c>
      <c r="H2" s="12" t="s">
        <v>85</v>
      </c>
    </row>
    <row r="3" spans="1:8" ht="23" customHeight="1">
      <c r="A3" s="7" t="s">
        <v>79</v>
      </c>
      <c r="B3" s="8">
        <v>44620</v>
      </c>
      <c r="C3" s="17">
        <f t="shared" ref="C3:C6" si="0">MONTH(B3)</f>
        <v>2</v>
      </c>
    </row>
    <row r="4" spans="1:8" ht="23" customHeight="1">
      <c r="A4" s="7" t="s">
        <v>80</v>
      </c>
      <c r="B4" s="8">
        <v>45636</v>
      </c>
      <c r="C4" s="17">
        <f t="shared" si="0"/>
        <v>12</v>
      </c>
      <c r="E4" s="5" t="s">
        <v>41</v>
      </c>
      <c r="F4" s="5" t="s">
        <v>14</v>
      </c>
      <c r="G4" s="5" t="s">
        <v>55</v>
      </c>
      <c r="H4" s="5" t="s">
        <v>43</v>
      </c>
    </row>
    <row r="5" spans="1:8" ht="23" customHeight="1">
      <c r="A5" s="7" t="s">
        <v>81</v>
      </c>
      <c r="B5" s="8">
        <v>44382</v>
      </c>
      <c r="C5" s="17">
        <f t="shared" si="0"/>
        <v>7</v>
      </c>
      <c r="D5" s="19"/>
      <c r="E5" s="2" t="s">
        <v>89</v>
      </c>
      <c r="F5" s="12" t="s">
        <v>91</v>
      </c>
      <c r="G5" s="13" t="str">
        <f>TEXT(B2,"mmmm")</f>
        <v>January</v>
      </c>
      <c r="H5" s="2" t="s">
        <v>94</v>
      </c>
    </row>
    <row r="6" spans="1:8" ht="23" customHeight="1">
      <c r="A6" s="7" t="s">
        <v>82</v>
      </c>
      <c r="B6" s="8">
        <v>45991</v>
      </c>
      <c r="C6" s="17">
        <f t="shared" si="0"/>
        <v>11</v>
      </c>
      <c r="E6" s="2" t="s">
        <v>90</v>
      </c>
      <c r="F6" s="12" t="s">
        <v>92</v>
      </c>
      <c r="G6" s="13" t="str">
        <f>TEXT(B2,"mmm")</f>
        <v>Jan</v>
      </c>
      <c r="H6" s="2" t="s">
        <v>95</v>
      </c>
    </row>
    <row r="8" spans="1:8" ht="23" customHeight="1">
      <c r="E8" s="5" t="s">
        <v>41</v>
      </c>
      <c r="F8" s="5" t="s">
        <v>96</v>
      </c>
      <c r="G8" s="5" t="s">
        <v>97</v>
      </c>
    </row>
    <row r="9" spans="1:8" ht="23" customHeight="1">
      <c r="E9" s="2" t="s">
        <v>86</v>
      </c>
      <c r="F9" s="12" t="s">
        <v>85</v>
      </c>
      <c r="G9" s="2" t="s">
        <v>93</v>
      </c>
    </row>
    <row r="10" spans="1:8" ht="23" customHeight="1">
      <c r="E10" s="2" t="s">
        <v>89</v>
      </c>
      <c r="F10" s="12" t="s">
        <v>99</v>
      </c>
      <c r="G10" s="2" t="s">
        <v>94</v>
      </c>
    </row>
    <row r="11" spans="1:8" ht="23" customHeight="1">
      <c r="E11" s="2" t="s">
        <v>90</v>
      </c>
      <c r="F11" s="12" t="s">
        <v>100</v>
      </c>
      <c r="G11" s="2" t="s">
        <v>95</v>
      </c>
    </row>
    <row r="12" spans="1:8" ht="30" customHeight="1">
      <c r="E12" s="2" t="s">
        <v>98</v>
      </c>
      <c r="F12" s="12" t="s">
        <v>101</v>
      </c>
      <c r="G12" s="21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38D3-4A73-4BFE-AE79-DF6B8D462122}">
  <dimension ref="A1:H7"/>
  <sheetViews>
    <sheetView workbookViewId="0">
      <selection activeCell="D8" sqref="D8"/>
    </sheetView>
  </sheetViews>
  <sheetFormatPr defaultColWidth="18.453125" defaultRowHeight="26" customHeight="1"/>
  <cols>
    <col min="6" max="6" width="22.90625" customWidth="1"/>
    <col min="7" max="7" width="24.36328125" customWidth="1"/>
    <col min="8" max="8" width="19.7265625" customWidth="1"/>
  </cols>
  <sheetData>
    <row r="1" spans="1:8" ht="26" customHeight="1">
      <c r="A1" s="5" t="s">
        <v>0</v>
      </c>
      <c r="B1" s="5" t="s">
        <v>110</v>
      </c>
      <c r="C1" s="16" t="s">
        <v>116</v>
      </c>
      <c r="E1" s="5" t="s">
        <v>13</v>
      </c>
      <c r="F1" s="5" t="s">
        <v>14</v>
      </c>
      <c r="G1" s="5" t="s">
        <v>15</v>
      </c>
      <c r="H1" s="5" t="s">
        <v>55</v>
      </c>
    </row>
    <row r="2" spans="1:8" ht="26" customHeight="1">
      <c r="A2" s="2" t="s">
        <v>111</v>
      </c>
      <c r="B2" s="3">
        <v>43997</v>
      </c>
      <c r="C2" s="15">
        <f>YEAR(B2)</f>
        <v>2020</v>
      </c>
      <c r="E2" s="2" t="s">
        <v>117</v>
      </c>
      <c r="F2" s="12" t="s">
        <v>119</v>
      </c>
      <c r="G2" s="2" t="s">
        <v>118</v>
      </c>
      <c r="H2" s="12" t="s">
        <v>120</v>
      </c>
    </row>
    <row r="3" spans="1:8" ht="26" customHeight="1">
      <c r="A3" s="2" t="s">
        <v>112</v>
      </c>
      <c r="B3" s="3">
        <v>43101</v>
      </c>
      <c r="C3" s="15">
        <f t="shared" ref="C3:C6" si="0">YEAR(B3)</f>
        <v>2018</v>
      </c>
    </row>
    <row r="4" spans="1:8" ht="26" customHeight="1">
      <c r="A4" s="2" t="s">
        <v>113</v>
      </c>
      <c r="B4" s="3">
        <v>44885</v>
      </c>
      <c r="C4" s="15">
        <f t="shared" si="0"/>
        <v>2022</v>
      </c>
    </row>
    <row r="5" spans="1:8" ht="26" customHeight="1">
      <c r="A5" s="2" t="s">
        <v>114</v>
      </c>
      <c r="B5" s="3">
        <v>42073</v>
      </c>
      <c r="C5" s="15">
        <f t="shared" si="0"/>
        <v>2015</v>
      </c>
      <c r="E5" s="5" t="s">
        <v>41</v>
      </c>
      <c r="F5" s="5" t="s">
        <v>42</v>
      </c>
      <c r="G5" s="5" t="s">
        <v>43</v>
      </c>
    </row>
    <row r="6" spans="1:8" ht="26" customHeight="1">
      <c r="A6" s="2" t="s">
        <v>115</v>
      </c>
      <c r="B6" s="3">
        <v>43671</v>
      </c>
      <c r="C6" s="15">
        <f t="shared" si="0"/>
        <v>2019</v>
      </c>
      <c r="E6" s="2" t="s">
        <v>121</v>
      </c>
      <c r="F6" s="12" t="s">
        <v>123</v>
      </c>
      <c r="G6" s="2">
        <v>2018</v>
      </c>
    </row>
    <row r="7" spans="1:8" ht="26" customHeight="1">
      <c r="E7" s="2" t="s">
        <v>122</v>
      </c>
      <c r="F7" s="12" t="s">
        <v>124</v>
      </c>
      <c r="G7" s="2">
        <v>1998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92FC-F634-4527-AA0D-DD4D43BA67A2}">
  <dimension ref="A1:I9"/>
  <sheetViews>
    <sheetView tabSelected="1" workbookViewId="0">
      <selection activeCell="G10" sqref="G10"/>
    </sheetView>
  </sheetViews>
  <sheetFormatPr defaultRowHeight="28.5" customHeight="1"/>
  <cols>
    <col min="1" max="1" width="12.7265625" customWidth="1"/>
    <col min="3" max="3" width="12.81640625" customWidth="1"/>
    <col min="4" max="4" width="17.7265625" customWidth="1"/>
    <col min="5" max="5" width="7.1796875" customWidth="1"/>
    <col min="6" max="6" width="8.1796875" customWidth="1"/>
    <col min="7" max="7" width="36.90625" customWidth="1"/>
    <col min="8" max="8" width="36.6328125" customWidth="1"/>
    <col min="9" max="9" width="25.54296875" customWidth="1"/>
  </cols>
  <sheetData>
    <row r="1" spans="1:9" ht="28.5" customHeight="1">
      <c r="A1" s="5" t="s">
        <v>0</v>
      </c>
      <c r="B1" s="5" t="s">
        <v>1</v>
      </c>
      <c r="C1" s="5" t="s">
        <v>2</v>
      </c>
      <c r="D1" s="5" t="s">
        <v>148</v>
      </c>
      <c r="F1" s="5" t="s">
        <v>13</v>
      </c>
      <c r="G1" s="5" t="s">
        <v>14</v>
      </c>
      <c r="H1" s="5" t="s">
        <v>15</v>
      </c>
      <c r="I1" s="5" t="s">
        <v>55</v>
      </c>
    </row>
    <row r="2" spans="1:9" ht="28.5" customHeight="1">
      <c r="A2" s="2" t="s">
        <v>125</v>
      </c>
      <c r="B2" s="2" t="s">
        <v>4</v>
      </c>
      <c r="C2" s="3">
        <v>43997</v>
      </c>
      <c r="D2" s="15">
        <f ca="1">DATEDIF(C2, TODAY(),"Y")</f>
        <v>5</v>
      </c>
      <c r="F2" s="2" t="s">
        <v>130</v>
      </c>
      <c r="G2" s="12" t="s">
        <v>132</v>
      </c>
      <c r="H2" s="2" t="s">
        <v>131</v>
      </c>
      <c r="I2" s="12" t="s">
        <v>133</v>
      </c>
    </row>
    <row r="3" spans="1:9" ht="28.5" customHeight="1">
      <c r="A3" s="2" t="s">
        <v>126</v>
      </c>
      <c r="B3" s="2" t="s">
        <v>6</v>
      </c>
      <c r="C3" s="3">
        <v>43101</v>
      </c>
      <c r="D3" s="15">
        <f ca="1">DATEDIF(C3, TODAY(),"Y")</f>
        <v>7</v>
      </c>
    </row>
    <row r="4" spans="1:9" ht="28.5" customHeight="1">
      <c r="A4" s="2" t="s">
        <v>127</v>
      </c>
      <c r="B4" s="2" t="s">
        <v>8</v>
      </c>
      <c r="C4" s="3">
        <v>44885</v>
      </c>
      <c r="D4" s="15">
        <f ca="1">DATEDIF(C4, TODAY(),"Y")</f>
        <v>3</v>
      </c>
    </row>
    <row r="5" spans="1:9" ht="28.5" customHeight="1">
      <c r="A5" s="2" t="s">
        <v>128</v>
      </c>
      <c r="B5" s="2" t="s">
        <v>10</v>
      </c>
      <c r="C5" s="3">
        <v>42073</v>
      </c>
      <c r="D5" s="15">
        <f ca="1">DATEDIF(C5, TODAY(),"Y")</f>
        <v>10</v>
      </c>
      <c r="G5" s="5" t="s">
        <v>41</v>
      </c>
      <c r="H5" s="5" t="s">
        <v>42</v>
      </c>
      <c r="I5" s="5" t="s">
        <v>43</v>
      </c>
    </row>
    <row r="6" spans="1:9" ht="28.5" customHeight="1">
      <c r="A6" s="2" t="s">
        <v>129</v>
      </c>
      <c r="B6" s="2" t="s">
        <v>12</v>
      </c>
      <c r="C6" s="3">
        <v>43671</v>
      </c>
      <c r="D6" s="15">
        <f ca="1">DATEDIF(C6, TODAY(),"Y")</f>
        <v>6</v>
      </c>
      <c r="G6" s="2" t="s">
        <v>149</v>
      </c>
      <c r="H6" s="12" t="s">
        <v>156</v>
      </c>
      <c r="I6" s="2" t="s">
        <v>162</v>
      </c>
    </row>
    <row r="7" spans="1:9" ht="28.5" customHeight="1">
      <c r="G7" s="2" t="s">
        <v>151</v>
      </c>
      <c r="H7" s="12" t="s">
        <v>157</v>
      </c>
      <c r="I7" s="2" t="s">
        <v>161</v>
      </c>
    </row>
    <row r="8" spans="1:9" ht="28.5" customHeight="1">
      <c r="G8" s="2" t="s">
        <v>153</v>
      </c>
      <c r="H8" s="12" t="s">
        <v>158</v>
      </c>
      <c r="I8" s="2" t="s">
        <v>160</v>
      </c>
    </row>
    <row r="9" spans="1:9" ht="28.5" customHeight="1">
      <c r="G9" s="2" t="s">
        <v>154</v>
      </c>
      <c r="H9" s="12" t="s">
        <v>159</v>
      </c>
      <c r="I9" s="2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FD38-0355-4125-923B-6C7723C6602B}">
  <dimension ref="A1:L7"/>
  <sheetViews>
    <sheetView workbookViewId="0">
      <selection activeCell="F5" sqref="F5"/>
    </sheetView>
  </sheetViews>
  <sheetFormatPr defaultRowHeight="31" customHeight="1"/>
  <cols>
    <col min="1" max="1" width="14.7265625" customWidth="1"/>
    <col min="3" max="3" width="13" customWidth="1"/>
    <col min="6" max="6" width="17.26953125" customWidth="1"/>
    <col min="11" max="11" width="11" customWidth="1"/>
    <col min="12" max="12" width="32.54296875" customWidth="1"/>
  </cols>
  <sheetData>
    <row r="1" spans="1:12" ht="31" customHeight="1">
      <c r="A1" s="5" t="s">
        <v>0</v>
      </c>
      <c r="B1" s="5" t="s">
        <v>1</v>
      </c>
      <c r="C1" s="5" t="s">
        <v>2</v>
      </c>
      <c r="D1" s="5" t="s">
        <v>150</v>
      </c>
      <c r="E1" s="5" t="s">
        <v>152</v>
      </c>
      <c r="F1" s="5" t="s">
        <v>163</v>
      </c>
      <c r="K1" s="9" t="s">
        <v>134</v>
      </c>
      <c r="L1" s="9" t="s">
        <v>135</v>
      </c>
    </row>
    <row r="2" spans="1:12" ht="31" customHeight="1">
      <c r="A2" s="2" t="s">
        <v>125</v>
      </c>
      <c r="B2" s="2" t="s">
        <v>4</v>
      </c>
      <c r="C2" s="3">
        <v>43997</v>
      </c>
      <c r="D2" s="14">
        <f ca="1">DATEDIF(C2,TODAY(),"y")</f>
        <v>5</v>
      </c>
      <c r="E2" s="14">
        <f ca="1">DATEDIF(C2,TODAY(),"YM")</f>
        <v>6</v>
      </c>
      <c r="F2" s="14" t="str">
        <f ca="1">D2  &amp;  " Years  "  &amp;  E2  &amp; " Months"</f>
        <v>5 Years  6 Months</v>
      </c>
      <c r="K2" s="18" t="s">
        <v>136</v>
      </c>
      <c r="L2" s="7" t="s">
        <v>137</v>
      </c>
    </row>
    <row r="3" spans="1:12" ht="31" customHeight="1">
      <c r="A3" s="2" t="s">
        <v>126</v>
      </c>
      <c r="B3" s="2" t="s">
        <v>6</v>
      </c>
      <c r="C3" s="3">
        <v>43101</v>
      </c>
      <c r="D3" s="14">
        <f t="shared" ref="D3:D6" ca="1" si="0">DATEDIF(C3,TODAY(),"y")</f>
        <v>7</v>
      </c>
      <c r="E3" s="14">
        <f t="shared" ref="E3:E6" ca="1" si="1">DATEDIF(C3,TODAY(),"YM")</f>
        <v>11</v>
      </c>
      <c r="F3" s="14" t="str">
        <f t="shared" ref="F3:F6" ca="1" si="2">D3  &amp;  " Years  "  &amp;  E3  &amp; " Months"</f>
        <v>7 Years  11 Months</v>
      </c>
      <c r="K3" s="18" t="s">
        <v>138</v>
      </c>
      <c r="L3" s="7" t="s">
        <v>139</v>
      </c>
    </row>
    <row r="4" spans="1:12" ht="31" customHeight="1">
      <c r="A4" s="2" t="s">
        <v>127</v>
      </c>
      <c r="B4" s="2" t="s">
        <v>8</v>
      </c>
      <c r="C4" s="3">
        <v>44885</v>
      </c>
      <c r="D4" s="14">
        <f t="shared" ca="1" si="0"/>
        <v>3</v>
      </c>
      <c r="E4" s="14">
        <f t="shared" ca="1" si="1"/>
        <v>0</v>
      </c>
      <c r="F4" s="14" t="str">
        <f t="shared" ca="1" si="2"/>
        <v>3 Years  0 Months</v>
      </c>
      <c r="K4" s="18" t="s">
        <v>140</v>
      </c>
      <c r="L4" s="7" t="s">
        <v>141</v>
      </c>
    </row>
    <row r="5" spans="1:12" ht="31" customHeight="1">
      <c r="A5" s="2" t="s">
        <v>128</v>
      </c>
      <c r="B5" s="2" t="s">
        <v>10</v>
      </c>
      <c r="C5" s="3">
        <v>42073</v>
      </c>
      <c r="D5" s="14">
        <f t="shared" ca="1" si="0"/>
        <v>10</v>
      </c>
      <c r="E5" s="14">
        <f t="shared" ca="1" si="1"/>
        <v>9</v>
      </c>
      <c r="F5" s="14" t="str">
        <f t="shared" ca="1" si="2"/>
        <v>10 Years  9 Months</v>
      </c>
      <c r="K5" s="18" t="s">
        <v>142</v>
      </c>
      <c r="L5" s="7" t="s">
        <v>143</v>
      </c>
    </row>
    <row r="6" spans="1:12" ht="31" customHeight="1">
      <c r="A6" s="2" t="s">
        <v>129</v>
      </c>
      <c r="B6" s="2" t="s">
        <v>12</v>
      </c>
      <c r="C6" s="3">
        <v>43671</v>
      </c>
      <c r="D6" s="14">
        <f t="shared" ca="1" si="0"/>
        <v>6</v>
      </c>
      <c r="E6" s="14">
        <f t="shared" ca="1" si="1"/>
        <v>4</v>
      </c>
      <c r="F6" s="14" t="str">
        <f ca="1">D6  &amp;  " Years  "  &amp;  E6  &amp; " Months"</f>
        <v>6 Years  4 Months</v>
      </c>
      <c r="K6" s="18" t="s">
        <v>144</v>
      </c>
      <c r="L6" s="7" t="s">
        <v>145</v>
      </c>
    </row>
    <row r="7" spans="1:12" ht="31" customHeight="1">
      <c r="K7" s="18" t="s">
        <v>146</v>
      </c>
      <c r="L7" s="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TODAY</vt:lpstr>
      <vt:lpstr>NOW</vt:lpstr>
      <vt:lpstr>DATE</vt:lpstr>
      <vt:lpstr>DAY</vt:lpstr>
      <vt:lpstr>MONTH</vt:lpstr>
      <vt:lpstr>YEAR</vt:lpstr>
      <vt:lpstr>DATEDIF</vt:lpstr>
      <vt:lpstr>DATEDIF (A)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gireeshlb888@gmail.com</dc:creator>
  <cp:lastModifiedBy>gireeshlb888@gmail.com</cp:lastModifiedBy>
  <dcterms:created xsi:type="dcterms:W3CDTF">2025-12-15T08:43:41Z</dcterms:created>
  <dcterms:modified xsi:type="dcterms:W3CDTF">2025-12-15T11:26:55Z</dcterms:modified>
</cp:coreProperties>
</file>
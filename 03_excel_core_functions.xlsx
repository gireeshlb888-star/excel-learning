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OneDrive\Documents\"/>
    </mc:Choice>
  </mc:AlternateContent>
  <xr:revisionPtr revIDLastSave="0" documentId="13_ncr:1_{142D3247-45A0-45BB-B07C-7C80B3F2C990}" xr6:coauthVersionLast="47" xr6:coauthVersionMax="47" xr10:uidLastSave="{00000000-0000-0000-0000-000000000000}"/>
  <bookViews>
    <workbookView xWindow="-110" yWindow="-110" windowWidth="19420" windowHeight="10300" xr2:uid="{D4F4C155-F410-4BEE-AB99-E6B9616BC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<sst xmlns="http://schemas.openxmlformats.org/spreadsheetml/2006/main" count="48" uniqueCount="41">
  <si>
    <t>Date</t>
  </si>
  <si>
    <t>Category</t>
  </si>
  <si>
    <t>Amount</t>
  </si>
  <si>
    <t>Payment Mode</t>
  </si>
  <si>
    <t>Rent</t>
  </si>
  <si>
    <t>UPI</t>
  </si>
  <si>
    <t>Groceries</t>
  </si>
  <si>
    <t>Cash</t>
  </si>
  <si>
    <t>Electricity</t>
  </si>
  <si>
    <t>Internet</t>
  </si>
  <si>
    <t>Card</t>
  </si>
  <si>
    <t>Transport</t>
  </si>
  <si>
    <t>Mobile Bill</t>
  </si>
  <si>
    <t>Medical</t>
  </si>
  <si>
    <t>Entertainment</t>
  </si>
  <si>
    <t>Misc</t>
  </si>
  <si>
    <t>Metric</t>
  </si>
  <si>
    <t>Value</t>
  </si>
  <si>
    <t>Total Expense</t>
  </si>
  <si>
    <t>Average Expense</t>
  </si>
  <si>
    <t>Minimum Expense</t>
  </si>
  <si>
    <t>Maximum Expense</t>
  </si>
  <si>
    <t>Count of Amounts</t>
  </si>
  <si>
    <t>Filled Categories</t>
  </si>
  <si>
    <t>Blank Payment Modes</t>
  </si>
  <si>
    <t>Function</t>
  </si>
  <si>
    <t>Formula</t>
  </si>
  <si>
    <t>SUM</t>
  </si>
  <si>
    <t>AVERAGE</t>
  </si>
  <si>
    <t>MIN</t>
  </si>
  <si>
    <t>MAX</t>
  </si>
  <si>
    <t>COUNT</t>
  </si>
  <si>
    <t>COUNTA</t>
  </si>
  <si>
    <t>COUNTBLANK</t>
  </si>
  <si>
    <t>=SUM(C2:C11)</t>
  </si>
  <si>
    <t>=AVERAGE(C2:C11)</t>
  </si>
  <si>
    <t>=MIN(C2:C11)</t>
  </si>
  <si>
    <t>=MAX(C2:C11)</t>
  </si>
  <si>
    <t>=COUNT(C2:C11)</t>
  </si>
  <si>
    <t>=COUNTA(B2:B11)</t>
  </si>
  <si>
    <t>=COUNTBLANK(D2:D11)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</si>
</sst>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5D2A-AA5B-4718-B031-A36073ED33D9}">
  <dimension ref="A1:J11"/>
  <sheetViews>
    <sheetView tabSelected="1" workbookViewId="0">
      <selection activeCell="F7" sqref="F7"/>
    </sheetView>
  </sheetViews>
  <sheetFormatPr defaultRowHeight="21" customHeight="1"/>
  <cols>
    <col min="1" max="1" width="13.81640625" customWidth="1"/>
    <col min="2" max="2" width="14.453125" customWidth="1"/>
    <col min="3" max="3" width="11.6328125" customWidth="1"/>
    <col min="4" max="4" width="11.81640625" customWidth="1"/>
    <col min="6" max="6" width="22.453125" customWidth="1"/>
    <col min="7" max="7" width="14.90625" customWidth="1"/>
    <col min="9" max="9" width="15.36328125" customWidth="1"/>
    <col min="10" max="10" width="21.453125" bestFit="1" customWidth="1"/>
  </cols>
  <sheetData>
    <row r="1" spans="1:10" ht="29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16</v>
      </c>
      <c r="G1" s="1" t="s">
        <v>17</v>
      </c>
      <c r="I1" s="1" t="s">
        <v>25</v>
      </c>
      <c r="J1" s="1" t="s">
        <v>26</v>
      </c>
    </row>
    <row r="2" spans="1:10" ht="21" customHeight="1">
      <c r="A2" s="2">
        <v>45658</v>
      </c>
      <c r="B2" s="3" t="s">
        <v>4</v>
      </c>
      <c r="C2" s="3">
        <v>12000</v>
      </c>
      <c r="D2" s="3" t="s">
        <v>5</v>
      </c>
      <c r="F2" s="3" t="s">
        <v>18</v>
      </c>
      <c r="G2" s="3">
        <f>SUM(C2:C11)</f>
        <v>26798</v>
      </c>
      <c r="I2" s="3" t="s">
        <v>27</v>
      </c>
      <c r="J2" s="4" t="s">
        <v>34</v>
      </c>
    </row>
    <row r="3" spans="1:10" ht="21" customHeight="1">
      <c r="A3" s="2">
        <v>45660</v>
      </c>
      <c r="B3" s="3" t="s">
        <v>6</v>
      </c>
      <c r="C3" s="3">
        <v>3500</v>
      </c>
      <c r="D3" s="3" t="s">
        <v>7</v>
      </c>
      <c r="F3" s="3" t="s">
        <v>19</v>
      </c>
      <c r="G3" s="3">
        <f>AVERAGE(C2:C11)</f>
        <v>2679.8</v>
      </c>
      <c r="I3" s="3" t="s">
        <v>28</v>
      </c>
      <c r="J3" s="4" t="s">
        <v>35</v>
      </c>
    </row>
    <row r="4" spans="1:10" ht="21" customHeight="1">
      <c r="A4" s="2">
        <v>45662</v>
      </c>
      <c r="B4" s="3" t="s">
        <v>8</v>
      </c>
      <c r="C4" s="3">
        <v>1800</v>
      </c>
      <c r="D4" s="3" t="s">
        <v>5</v>
      </c>
      <c r="F4" s="3" t="s">
        <v>20</v>
      </c>
      <c r="G4" s="3">
        <f>MIN(C2:C11)</f>
        <v>0</v>
      </c>
      <c r="I4" s="3" t="s">
        <v>29</v>
      </c>
      <c r="J4" s="4" t="s">
        <v>36</v>
      </c>
    </row>
    <row r="5" spans="1:10" ht="21" customHeight="1">
      <c r="A5" s="2">
        <v>45664</v>
      </c>
      <c r="B5" s="3" t="s">
        <v>9</v>
      </c>
      <c r="C5" s="3">
        <v>999</v>
      </c>
      <c r="D5" s="3" t="s">
        <v>10</v>
      </c>
      <c r="F5" s="3" t="s">
        <v>21</v>
      </c>
      <c r="G5" s="3">
        <f>MAX(C2:C11)</f>
        <v>12000</v>
      </c>
      <c r="I5" s="3" t="s">
        <v>30</v>
      </c>
      <c r="J5" s="4" t="s">
        <v>37</v>
      </c>
    </row>
    <row r="6" spans="1:10" ht="21" customHeight="1">
      <c r="A6" s="2">
        <v>45667</v>
      </c>
      <c r="B6" s="3" t="s">
        <v>11</v>
      </c>
      <c r="C6" s="3">
        <v>1500</v>
      </c>
      <c r="D6" s="3" t="s">
        <v>7</v>
      </c>
      <c r="F6" s="3" t="s">
        <v>22</v>
      </c>
      <c r="G6" s="3">
        <f>COUNT(C2:C11)</f>
        <v>10</v>
      </c>
      <c r="I6" s="3" t="s">
        <v>31</v>
      </c>
      <c r="J6" s="4" t="s">
        <v>38</v>
      </c>
    </row>
    <row r="7" spans="1:10" ht="21" customHeight="1">
      <c r="A7" s="2">
        <v>45672</v>
      </c>
      <c r="B7" s="3" t="s">
        <v>12</v>
      </c>
      <c r="C7" s="3">
        <v>799</v>
      </c>
      <c r="D7" s="3" t="s">
        <v>5</v>
      </c>
      <c r="F7" s="3" t="s">
        <v>23</v>
      </c>
      <c r="G7" s="3">
        <f>COUNTA(B2:B11)</f>
        <v>10</v>
      </c>
      <c r="I7" s="3" t="s">
        <v>32</v>
      </c>
      <c r="J7" s="4" t="s">
        <v>39</v>
      </c>
    </row>
    <row r="8" spans="1:10" ht="21" customHeight="1">
      <c r="A8" s="2">
        <v>45675</v>
      </c>
      <c r="B8" s="3" t="s">
        <v>13</v>
      </c>
      <c r="C8" s="3">
        <v>2200</v>
      </c>
      <c r="D8" s="3" t="s">
        <v>7</v>
      </c>
      <c r="F8" s="3" t="s">
        <v>24</v>
      </c>
      <c r="G8" s="3">
        <f>COUNTBLANK(D2:D11)</f>
        <v>1</v>
      </c>
      <c r="I8" s="3" t="s">
        <v>33</v>
      </c>
      <c r="J8" s="4" t="s">
        <v>40</v>
      </c>
    </row>
    <row r="9" spans="1:10" ht="21" customHeight="1">
      <c r="A9" s="2">
        <v>45679</v>
      </c>
      <c r="B9" s="3" t="s">
        <v>14</v>
      </c>
      <c r="C9" s="3">
        <v>1200</v>
      </c>
      <c r="D9" s="3" t="s">
        <v>10</v>
      </c>
    </row>
    <row r="10" spans="1:10" ht="21" customHeight="1">
      <c r="A10" s="2">
        <v>45682</v>
      </c>
      <c r="B10" s="3" t="s">
        <v>6</v>
      </c>
      <c r="C10" s="3">
        <v>2800</v>
      </c>
      <c r="D10" s="3" t="s">
        <v>5</v>
      </c>
    </row>
    <row r="11" spans="1:10" ht="21" customHeight="1">
      <c r="A11" s="2">
        <v>45685</v>
      </c>
      <c r="B11" s="3" t="s">
        <v>15</v>
      </c>
      <c r="C11" s="3">
        <v>0</v>
      </c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2025-12-13T07:25:00Z</dcterms:created>
  <dcterms:modified xsi:type="dcterms:W3CDTF">2025-12-13T07:41:08Z</dcterms:modified>
</cp:coreProperties>
</file>
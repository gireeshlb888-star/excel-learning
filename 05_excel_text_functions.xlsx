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Downloads\"/>
    </mc:Choice>
  </mc:AlternateContent>
  <xr:revisionPtr revIDLastSave="0" documentId="13_ncr:1_{EFD7626C-086F-4F18-A0AB-04E290D45091}" xr6:coauthVersionLast="47" xr6:coauthVersionMax="47" xr10:uidLastSave="{00000000-0000-0000-0000-000000000000}"/>
  <bookViews>
    <workbookView xWindow="-110" yWindow="-110" windowWidth="19420" windowHeight="10300" activeTab="7" xr2:uid="{F25B7C8C-3668-4C04-9E57-0388B0365BEA}"/>
  </bookViews>
  <sheets>
    <sheet name="LEFT" sheetId="1" r:id="rId1"/>
    <sheet name="RIGHT" sheetId="2" r:id="rId2"/>
    <sheet name="MID" sheetId="3" r:id="rId3"/>
    <sheet name="LEN" sheetId="4" r:id="rId4"/>
    <sheet name="TRIM" sheetId="5" r:id="rId5"/>
    <sheet name="CONCAT" sheetId="6" r:id="rId6"/>
    <sheet name="UPPER" sheetId="7" r:id="rId7"/>
    <sheet name="LOWE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8" l="1" a="1"/>
  <c r="B2" i="8" s="1"/>
  <c r="B2" i="7" a="1"/>
  <c r="B2" i="7" s="1"/>
  <c r="C3" i="6"/>
  <c r="C4" i="6"/>
  <c r="C5" i="6"/>
  <c r="C6" i="6"/>
  <c r="C2" i="6"/>
  <c r="E2" i="5" a="1"/>
  <c r="E2" i="5" s="1"/>
  <c r="B2" i="4" a="1"/>
  <c r="B2" i="4" s="1"/>
  <c r="H2" i="3" a="1"/>
  <c r="H2" i="3" s="1"/>
  <c r="E2" i="3" a="1"/>
  <c r="E2" i="3" s="1"/>
  <c r="B2" i="3" a="1"/>
  <c r="B2" i="3" s="1"/>
  <c r="G2" i="3"/>
  <c r="G3" i="3"/>
  <c r="G4" i="3"/>
  <c r="G5" i="3"/>
  <c r="G6" i="3"/>
  <c r="H2" i="2" a="1"/>
  <c r="H2" i="2" s="1"/>
  <c r="E3" i="2"/>
  <c r="E4" i="2"/>
  <c r="E5" i="2"/>
  <c r="E6" i="2"/>
  <c r="E2" i="2"/>
  <c r="B3" i="2"/>
  <c r="B4" i="2"/>
  <c r="B5" i="2"/>
  <c r="B6" i="2"/>
  <c r="B2" i="2"/>
  <c r="H2" i="1" a="1"/>
  <c r="H2" i="1" s="1"/>
  <c r="E3" i="1"/>
  <c r="E4" i="1"/>
  <c r="E5" i="1"/>
  <c r="E6" i="1"/>
  <c r="E2" i="1"/>
  <c r="B3" i="1"/>
  <c r="B4" i="1"/>
  <c r="B5" i="1"/>
  <c r="B6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<sst xmlns="http://schemas.openxmlformats.org/spreadsheetml/2006/main" count="170" uniqueCount="141">
  <si>
    <t>Full Name</t>
  </si>
  <si>
    <t>Ravi Kumar</t>
  </si>
  <si>
    <t>Ananya Rao</t>
  </si>
  <si>
    <t>Kiran Shetty</t>
  </si>
  <si>
    <t>Sneha Patil</t>
  </si>
  <si>
    <t>Rohit Sharma</t>
  </si>
  <si>
    <t>New Names</t>
  </si>
  <si>
    <t>Product Code</t>
  </si>
  <si>
    <t>ELE-1023</t>
  </si>
  <si>
    <t>FAS-3345</t>
  </si>
  <si>
    <t>GRO-7788</t>
  </si>
  <si>
    <t>HOM-5566</t>
  </si>
  <si>
    <t>ELE-8899</t>
  </si>
  <si>
    <t>New Code</t>
  </si>
  <si>
    <t>Email</t>
  </si>
  <si>
    <t>ravi.kumar@gmail.com</t>
  </si>
  <si>
    <t>ananya.rao@yahoo.com</t>
  </si>
  <si>
    <t>kiran_s@outlook.com</t>
  </si>
  <si>
    <t>sneha.p@company.in</t>
  </si>
  <si>
    <t>rohit123@gmail.com</t>
  </si>
  <si>
    <t>New Mails</t>
  </si>
  <si>
    <t>Function</t>
  </si>
  <si>
    <t>Formula (Reference Style)</t>
  </si>
  <si>
    <t>LEFT</t>
  </si>
  <si>
    <t>=LEFT(TextValue, NumberOfCharacters)</t>
  </si>
  <si>
    <t>Employee ID</t>
  </si>
  <si>
    <t>EMP-4589</t>
  </si>
  <si>
    <t>EMP-6721</t>
  </si>
  <si>
    <t>EMP-9034</t>
  </si>
  <si>
    <t>EMP-1198</t>
  </si>
  <si>
    <t>EMP-5567</t>
  </si>
  <si>
    <t>Invoice No</t>
  </si>
  <si>
    <t>INV2024-789</t>
  </si>
  <si>
    <t>INV2024-342</t>
  </si>
  <si>
    <t>INV2024-905</t>
  </si>
  <si>
    <t>INV2024-118</t>
  </si>
  <si>
    <t>INV2024-667</t>
  </si>
  <si>
    <t>Website</t>
  </si>
  <si>
    <t>www.google.com</t>
  </si>
  <si>
    <t>www.amazon.in</t>
  </si>
  <si>
    <t>www.microsoft.com</t>
  </si>
  <si>
    <t>www.flipkart.in</t>
  </si>
  <si>
    <t>www.github.com</t>
  </si>
  <si>
    <t>New ID</t>
  </si>
  <si>
    <t>New No</t>
  </si>
  <si>
    <t>New site</t>
  </si>
  <si>
    <t>RIGHT</t>
  </si>
  <si>
    <t>=RIGHT(TextValue, NumberOfCharacters)</t>
  </si>
  <si>
    <t>Employee Code</t>
  </si>
  <si>
    <t>EMP-IND-4589</t>
  </si>
  <si>
    <t>EMP-USA-6721</t>
  </si>
  <si>
    <t>EMP-UK-9034</t>
  </si>
  <si>
    <t>EMP-AUS-1198</t>
  </si>
  <si>
    <t>EMP-CAN-5567</t>
  </si>
  <si>
    <t>Order ID</t>
  </si>
  <si>
    <t>ORD2024-DEL-789</t>
  </si>
  <si>
    <t>ORD2024-MUM-342</t>
  </si>
  <si>
    <t>ORD2024-BLR-905</t>
  </si>
  <si>
    <t>ORD2024-HYD-118</t>
  </si>
  <si>
    <t>ORD2024-CHN-667</t>
  </si>
  <si>
    <t>Phone Text</t>
  </si>
  <si>
    <t>New code</t>
  </si>
  <si>
    <t>New phone</t>
  </si>
  <si>
    <t>MID</t>
  </si>
  <si>
    <t>=MID(TextValue, StartPosition, NumberOfCharacters)</t>
  </si>
  <si>
    <t>Text Value</t>
  </si>
  <si>
    <t>Length</t>
  </si>
  <si>
    <t>PRD-2025-XL</t>
  </si>
  <si>
    <t>INV-30984</t>
  </si>
  <si>
    <t>SKU-AZ-9901</t>
  </si>
  <si>
    <t>LEN</t>
  </si>
  <si>
    <t>=LEN(TextValue)</t>
  </si>
  <si>
    <t>TRIM</t>
  </si>
  <si>
    <t>=TRIM(TextValue)</t>
  </si>
  <si>
    <t xml:space="preserve">    Mankey</t>
  </si>
  <si>
    <t xml:space="preserve">  Fighting</t>
  </si>
  <si>
    <t xml:space="preserve">      Poliwrath</t>
  </si>
  <si>
    <t>Water</t>
  </si>
  <si>
    <t xml:space="preserve">    Victreebel</t>
  </si>
  <si>
    <t xml:space="preserve">  Grass</t>
  </si>
  <si>
    <t xml:space="preserve">      Tentacool</t>
  </si>
  <si>
    <t xml:space="preserve"> Water</t>
  </si>
  <si>
    <t xml:space="preserve">    Magneton</t>
  </si>
  <si>
    <t xml:space="preserve">    Electric</t>
  </si>
  <si>
    <t xml:space="preserve">    Dewgong</t>
  </si>
  <si>
    <t xml:space="preserve">      Cloyster</t>
  </si>
  <si>
    <t xml:space="preserve">  Water</t>
  </si>
  <si>
    <t xml:space="preserve">     Onix</t>
  </si>
  <si>
    <t>Rock</t>
  </si>
  <si>
    <t xml:space="preserve">     Dragonair</t>
  </si>
  <si>
    <t>Dragon</t>
  </si>
  <si>
    <t xml:space="preserve">      Pidgeotto</t>
  </si>
  <si>
    <t xml:space="preserve"> Normal</t>
  </si>
  <si>
    <t xml:space="preserve">    Rattata</t>
  </si>
  <si>
    <t xml:space="preserve">  Normal</t>
  </si>
  <si>
    <t xml:space="preserve">    Beedrill</t>
  </si>
  <si>
    <t>Bug</t>
  </si>
  <si>
    <t xml:space="preserve">    Doduo</t>
  </si>
  <si>
    <t xml:space="preserve">   Normal</t>
  </si>
  <si>
    <t xml:space="preserve">    Kingler</t>
  </si>
  <si>
    <t xml:space="preserve">    Nidoqueen</t>
  </si>
  <si>
    <t xml:space="preserve">  Poison</t>
  </si>
  <si>
    <t xml:space="preserve">    Hitmonchan</t>
  </si>
  <si>
    <t>Fighting</t>
  </si>
  <si>
    <t xml:space="preserve">      Charmeleon</t>
  </si>
  <si>
    <t>Fire</t>
  </si>
  <si>
    <t xml:space="preserve">    Arbok</t>
  </si>
  <si>
    <t>Poison</t>
  </si>
  <si>
    <t xml:space="preserve">    Gastly</t>
  </si>
  <si>
    <t xml:space="preserve">             Ghost</t>
  </si>
  <si>
    <t xml:space="preserve">     Magikarp</t>
  </si>
  <si>
    <t>Name</t>
  </si>
  <si>
    <t>Type</t>
  </si>
  <si>
    <t>Stats</t>
  </si>
  <si>
    <t>First Name</t>
  </si>
  <si>
    <t>Last Name</t>
  </si>
  <si>
    <t>Ravi</t>
  </si>
  <si>
    <t>Kumar</t>
  </si>
  <si>
    <t>Ananya</t>
  </si>
  <si>
    <t>Rao</t>
  </si>
  <si>
    <t>Kiran</t>
  </si>
  <si>
    <t>Shetty</t>
  </si>
  <si>
    <t>Sneha</t>
  </si>
  <si>
    <t>Patil</t>
  </si>
  <si>
    <t>Rohit</t>
  </si>
  <si>
    <t>Sharma</t>
  </si>
  <si>
    <t>CONCAT</t>
  </si>
  <si>
    <t>=CONCAT(TextValue1, TextValue2, …)</t>
  </si>
  <si>
    <t>Uppercase Text</t>
  </si>
  <si>
    <t>ananya rao</t>
  </si>
  <si>
    <t>sneha patil</t>
  </si>
  <si>
    <t>UPPER</t>
  </si>
  <si>
    <t>=UPPER(TextValue)</t>
  </si>
  <si>
    <t>Lowercase Text</t>
  </si>
  <si>
    <t>PRODUCT-XL-2025</t>
  </si>
  <si>
    <t>CUSTOMER_NAME</t>
  </si>
  <si>
    <t>ORDER-ID-DELHI</t>
  </si>
  <si>
    <t>EMAIL@COMPANY.COM</t>
  </si>
  <si>
    <t>USER_PROFILE_01</t>
  </si>
  <si>
    <t>LOWER</t>
  </si>
  <si>
    <t>=LOWER(TextValue)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</si>
</sst>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theme="1"/>
      <name val="Arial Unicode MS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quotePrefix="1" applyFont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wrapText="1"/>
    </xf>
    <xf numFmtId="0" fontId="0" fillId="0" borderId="0" xfId="0" applyBorder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B2A1-E661-4EF6-9B43-B970BAB8EE23}">
  <dimension ref="A1:K6"/>
  <sheetViews>
    <sheetView workbookViewId="0">
      <selection activeCell="E10" sqref="E10"/>
    </sheetView>
  </sheetViews>
  <sheetFormatPr defaultColWidth="13.7265625" defaultRowHeight="28.5" customHeight="1"/>
  <cols>
    <col min="7" max="7" width="21.6328125" bestFit="1" customWidth="1"/>
    <col min="10" max="10" width="8.08984375" bestFit="1" customWidth="1"/>
    <col min="11" max="11" width="26.08984375" customWidth="1"/>
  </cols>
  <sheetData>
    <row r="1" spans="1:11" ht="28.5" customHeight="1">
      <c r="A1" s="6" t="s">
        <v>0</v>
      </c>
      <c r="B1" s="7" t="s">
        <v>6</v>
      </c>
      <c r="D1" s="6" t="s">
        <v>7</v>
      </c>
      <c r="E1" s="7" t="s">
        <v>13</v>
      </c>
      <c r="G1" s="6" t="s">
        <v>14</v>
      </c>
      <c r="H1" s="8" t="s">
        <v>20</v>
      </c>
    </row>
    <row r="2" spans="1:11" ht="28.5" customHeight="1">
      <c r="A2" s="1" t="s">
        <v>1</v>
      </c>
      <c r="B2" s="2" t="str">
        <f>LEFT(A2,4)</f>
        <v>Ravi</v>
      </c>
      <c r="D2" s="3" t="s">
        <v>8</v>
      </c>
      <c r="E2" s="2" t="str">
        <f>LEFT(D2,3)</f>
        <v>ELE</v>
      </c>
      <c r="G2" s="4" t="s">
        <v>15</v>
      </c>
      <c r="H2" s="2" t="str" cm="1">
        <f t="array" ref="H2:H6">LEFT(G2:G6,4)</f>
        <v>ravi</v>
      </c>
    </row>
    <row r="3" spans="1:11" ht="28.5" customHeight="1">
      <c r="A3" s="1" t="s">
        <v>2</v>
      </c>
      <c r="B3" s="2" t="str">
        <f t="shared" ref="B3:B6" si="0">LEFT(A3,4)</f>
        <v>Anan</v>
      </c>
      <c r="D3" s="3" t="s">
        <v>9</v>
      </c>
      <c r="E3" s="2" t="str">
        <f t="shared" ref="E3:E6" si="1">LEFT(D3,3)</f>
        <v>FAS</v>
      </c>
      <c r="G3" s="5" t="s">
        <v>16</v>
      </c>
      <c r="H3" s="2" t="str">
        <v>anan</v>
      </c>
      <c r="J3" s="6" t="s">
        <v>21</v>
      </c>
      <c r="K3" s="6" t="s">
        <v>22</v>
      </c>
    </row>
    <row r="4" spans="1:11" ht="28.5" customHeight="1">
      <c r="A4" s="1" t="s">
        <v>3</v>
      </c>
      <c r="B4" s="2" t="str">
        <f t="shared" si="0"/>
        <v>Kira</v>
      </c>
      <c r="D4" s="3" t="s">
        <v>10</v>
      </c>
      <c r="E4" s="2" t="str">
        <f t="shared" si="1"/>
        <v>GRO</v>
      </c>
      <c r="G4" s="5" t="s">
        <v>17</v>
      </c>
      <c r="H4" s="2" t="str">
        <v>kira</v>
      </c>
      <c r="J4" s="3" t="s">
        <v>23</v>
      </c>
      <c r="K4" s="9" t="s">
        <v>24</v>
      </c>
    </row>
    <row r="5" spans="1:11" ht="28.5" customHeight="1">
      <c r="A5" s="1" t="s">
        <v>4</v>
      </c>
      <c r="B5" s="2" t="str">
        <f t="shared" si="0"/>
        <v>Sneh</v>
      </c>
      <c r="D5" s="3" t="s">
        <v>11</v>
      </c>
      <c r="E5" s="2" t="str">
        <f t="shared" si="1"/>
        <v>HOM</v>
      </c>
      <c r="G5" s="5" t="s">
        <v>18</v>
      </c>
      <c r="H5" s="2" t="str">
        <v>sneh</v>
      </c>
    </row>
    <row r="6" spans="1:11" ht="28.5" customHeight="1">
      <c r="A6" s="1" t="s">
        <v>5</v>
      </c>
      <c r="B6" s="2" t="str">
        <f t="shared" si="0"/>
        <v>Rohi</v>
      </c>
      <c r="D6" s="3" t="s">
        <v>12</v>
      </c>
      <c r="E6" s="2" t="str">
        <f t="shared" si="1"/>
        <v>ELE</v>
      </c>
      <c r="G6" s="5" t="s">
        <v>19</v>
      </c>
      <c r="H6" s="2" t="str">
        <v>rohi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5B05-552C-4AD2-B3C2-73A5658D4BF8}">
  <dimension ref="A1:K6"/>
  <sheetViews>
    <sheetView workbookViewId="0">
      <selection activeCell="H3" sqref="H3"/>
    </sheetView>
  </sheetViews>
  <sheetFormatPr defaultColWidth="12.90625" defaultRowHeight="26" customHeight="1"/>
  <cols>
    <col min="7" max="7" width="18.7265625" customWidth="1"/>
    <col min="11" max="11" width="29.54296875" customWidth="1"/>
  </cols>
  <sheetData>
    <row r="1" spans="1:11" ht="26" customHeight="1">
      <c r="A1" s="6" t="s">
        <v>25</v>
      </c>
      <c r="B1" s="8" t="s">
        <v>43</v>
      </c>
      <c r="D1" s="6" t="s">
        <v>31</v>
      </c>
      <c r="E1" s="8" t="s">
        <v>44</v>
      </c>
      <c r="G1" s="6" t="s">
        <v>37</v>
      </c>
      <c r="H1" s="8" t="s">
        <v>45</v>
      </c>
    </row>
    <row r="2" spans="1:11" ht="26" customHeight="1">
      <c r="A2" s="3" t="s">
        <v>26</v>
      </c>
      <c r="B2" s="2" t="str">
        <f>RIGHT(A2,4)</f>
        <v>4589</v>
      </c>
      <c r="D2" s="3" t="s">
        <v>32</v>
      </c>
      <c r="E2" s="2" t="str">
        <f>RIGHT(D2,2)</f>
        <v>89</v>
      </c>
      <c r="G2" s="5" t="s">
        <v>38</v>
      </c>
      <c r="H2" s="2" t="str" cm="1">
        <f t="array" ref="H2:H6">RIGHT(G2:G6,3)</f>
        <v>com</v>
      </c>
    </row>
    <row r="3" spans="1:11" ht="26" customHeight="1">
      <c r="A3" s="3" t="s">
        <v>27</v>
      </c>
      <c r="B3" s="2" t="str">
        <f t="shared" ref="B3:B6" si="0">RIGHT(A3,4)</f>
        <v>6721</v>
      </c>
      <c r="D3" s="3" t="s">
        <v>33</v>
      </c>
      <c r="E3" s="2" t="str">
        <f t="shared" ref="E3:E6" si="1">RIGHT(D3,2)</f>
        <v>42</v>
      </c>
      <c r="G3" s="5" t="s">
        <v>39</v>
      </c>
      <c r="H3" s="2" t="str">
        <v>.in</v>
      </c>
      <c r="J3" s="6" t="s">
        <v>21</v>
      </c>
      <c r="K3" s="6" t="s">
        <v>22</v>
      </c>
    </row>
    <row r="4" spans="1:11" ht="26" customHeight="1">
      <c r="A4" s="3" t="s">
        <v>28</v>
      </c>
      <c r="B4" s="2" t="str">
        <f t="shared" si="0"/>
        <v>9034</v>
      </c>
      <c r="D4" s="3" t="s">
        <v>34</v>
      </c>
      <c r="E4" s="2" t="str">
        <f t="shared" si="1"/>
        <v>05</v>
      </c>
      <c r="G4" s="5" t="s">
        <v>40</v>
      </c>
      <c r="H4" s="2" t="str">
        <v>com</v>
      </c>
      <c r="J4" s="3" t="s">
        <v>46</v>
      </c>
      <c r="K4" s="9" t="s">
        <v>47</v>
      </c>
    </row>
    <row r="5" spans="1:11" ht="26" customHeight="1">
      <c r="A5" s="3" t="s">
        <v>29</v>
      </c>
      <c r="B5" s="2" t="str">
        <f t="shared" si="0"/>
        <v>1198</v>
      </c>
      <c r="D5" s="3" t="s">
        <v>35</v>
      </c>
      <c r="E5" s="2" t="str">
        <f t="shared" si="1"/>
        <v>18</v>
      </c>
      <c r="G5" s="5" t="s">
        <v>41</v>
      </c>
      <c r="H5" s="2" t="str">
        <v>.in</v>
      </c>
    </row>
    <row r="6" spans="1:11" ht="26" customHeight="1">
      <c r="A6" s="3" t="s">
        <v>30</v>
      </c>
      <c r="B6" s="2" t="str">
        <f t="shared" si="0"/>
        <v>5567</v>
      </c>
      <c r="D6" s="3" t="s">
        <v>36</v>
      </c>
      <c r="E6" s="2" t="str">
        <f t="shared" si="1"/>
        <v>67</v>
      </c>
      <c r="G6" s="5" t="s">
        <v>42</v>
      </c>
      <c r="H6" s="2" t="str">
        <v>com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6DDA-19C0-4905-B426-5309B6A785B6}">
  <dimension ref="A1:K6"/>
  <sheetViews>
    <sheetView workbookViewId="0">
      <selection activeCell="H3" sqref="H3"/>
    </sheetView>
  </sheetViews>
  <sheetFormatPr defaultColWidth="14.453125" defaultRowHeight="32.5" customHeight="1"/>
  <cols>
    <col min="3" max="3" width="8.1796875" customWidth="1"/>
    <col min="6" max="6" width="8" customWidth="1"/>
    <col min="9" max="9" width="6.6328125" customWidth="1"/>
    <col min="11" max="11" width="29.54296875" customWidth="1"/>
  </cols>
  <sheetData>
    <row r="1" spans="1:11" ht="32.5" customHeight="1">
      <c r="A1" s="6" t="s">
        <v>48</v>
      </c>
      <c r="B1" s="8" t="s">
        <v>61</v>
      </c>
      <c r="D1" s="6" t="s">
        <v>54</v>
      </c>
      <c r="E1" s="8" t="s">
        <v>43</v>
      </c>
      <c r="G1" s="6" t="s">
        <v>60</v>
      </c>
      <c r="H1" s="8" t="s">
        <v>62</v>
      </c>
    </row>
    <row r="2" spans="1:11" ht="32.5" customHeight="1">
      <c r="A2" s="3" t="s">
        <v>49</v>
      </c>
      <c r="B2" s="2" t="str" cm="1">
        <f t="array" ref="B2:B6">MID(A2:A6,5,3)</f>
        <v>IND</v>
      </c>
      <c r="D2" s="3" t="s">
        <v>55</v>
      </c>
      <c r="E2" s="2" t="str" cm="1">
        <f t="array" ref="E2:E6">MID(D2:D6,3,8)</f>
        <v>D2024-DE</v>
      </c>
      <c r="G2" s="12">
        <f>91-9876543210</f>
        <v>-9876543119</v>
      </c>
      <c r="H2" s="11" t="str" cm="1">
        <f t="array" ref="H2:H6">MID(G2:G6,5,2)</f>
        <v>65</v>
      </c>
    </row>
    <row r="3" spans="1:11" ht="32.5" customHeight="1">
      <c r="A3" s="3" t="s">
        <v>50</v>
      </c>
      <c r="B3" s="2" t="str">
        <v>USA</v>
      </c>
      <c r="D3" s="3" t="s">
        <v>56</v>
      </c>
      <c r="E3" s="2" t="str">
        <v>D2024-MU</v>
      </c>
      <c r="G3" s="12">
        <f>1-5678901234</f>
        <v>-5678901233</v>
      </c>
      <c r="H3" s="11" t="str">
        <v>89</v>
      </c>
      <c r="J3" s="6" t="s">
        <v>21</v>
      </c>
      <c r="K3" s="6" t="s">
        <v>22</v>
      </c>
    </row>
    <row r="4" spans="1:11" ht="32.5" customHeight="1">
      <c r="A4" s="3" t="s">
        <v>51</v>
      </c>
      <c r="B4" s="2" t="str">
        <v>UK-</v>
      </c>
      <c r="D4" s="3" t="s">
        <v>57</v>
      </c>
      <c r="E4" s="2" t="str">
        <v>D2024-BL</v>
      </c>
      <c r="G4" s="12">
        <f>44-7890123456</f>
        <v>-7890123412</v>
      </c>
      <c r="H4" s="11" t="str">
        <v>01</v>
      </c>
      <c r="J4" s="3" t="s">
        <v>63</v>
      </c>
      <c r="K4" s="9" t="s">
        <v>64</v>
      </c>
    </row>
    <row r="5" spans="1:11" ht="32.5" customHeight="1">
      <c r="A5" s="3" t="s">
        <v>52</v>
      </c>
      <c r="B5" s="2" t="str">
        <v>AUS</v>
      </c>
      <c r="D5" s="3" t="s">
        <v>58</v>
      </c>
      <c r="E5" s="2" t="str">
        <v>D2024-HY</v>
      </c>
      <c r="G5" s="12">
        <f>61-6789012345</f>
        <v>-6789012284</v>
      </c>
      <c r="H5" s="11" t="str">
        <v>90</v>
      </c>
    </row>
    <row r="6" spans="1:11" ht="32.5" customHeight="1">
      <c r="A6" s="3" t="s">
        <v>53</v>
      </c>
      <c r="B6" s="2" t="str">
        <v>CAN</v>
      </c>
      <c r="D6" s="3" t="s">
        <v>59</v>
      </c>
      <c r="E6" s="2" t="str">
        <v>D2024-CH</v>
      </c>
      <c r="G6" s="12">
        <f>81-8901234567</f>
        <v>-8901234486</v>
      </c>
      <c r="H6" s="11" t="str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35CA-4567-4226-9D09-5C052C1F82FA}">
  <dimension ref="A1:E6"/>
  <sheetViews>
    <sheetView workbookViewId="0">
      <selection activeCell="B9" sqref="B9"/>
    </sheetView>
  </sheetViews>
  <sheetFormatPr defaultColWidth="17.6328125" defaultRowHeight="33" customHeight="1"/>
  <cols>
    <col min="5" max="5" width="23.1796875" customWidth="1"/>
  </cols>
  <sheetData>
    <row r="1" spans="1:5" ht="33" customHeight="1">
      <c r="A1" s="6" t="s">
        <v>65</v>
      </c>
      <c r="B1" s="6" t="s">
        <v>66</v>
      </c>
    </row>
    <row r="2" spans="1:5" ht="33" customHeight="1">
      <c r="A2" s="3" t="s">
        <v>67</v>
      </c>
      <c r="B2" s="3" cm="1">
        <f t="array" ref="B2:B6">LEN(A2:A6)</f>
        <v>11</v>
      </c>
      <c r="D2" s="6" t="s">
        <v>21</v>
      </c>
      <c r="E2" s="6" t="s">
        <v>22</v>
      </c>
    </row>
    <row r="3" spans="1:5" ht="33" customHeight="1">
      <c r="A3" s="3" t="s">
        <v>68</v>
      </c>
      <c r="B3" s="3">
        <v>9</v>
      </c>
      <c r="D3" s="3" t="s">
        <v>70</v>
      </c>
      <c r="E3" s="9" t="s">
        <v>71</v>
      </c>
    </row>
    <row r="4" spans="1:5" ht="33" customHeight="1">
      <c r="A4" s="3" t="s">
        <v>49</v>
      </c>
      <c r="B4" s="3">
        <v>12</v>
      </c>
    </row>
    <row r="5" spans="1:5" ht="33" customHeight="1">
      <c r="A5" s="3" t="s">
        <v>55</v>
      </c>
      <c r="B5" s="3">
        <v>15</v>
      </c>
    </row>
    <row r="6" spans="1:5" ht="33" customHeight="1">
      <c r="A6" s="3" t="s">
        <v>69</v>
      </c>
      <c r="B6" s="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4E35-39C6-414C-8603-3EE7D3068A15}">
  <dimension ref="A1:J22"/>
  <sheetViews>
    <sheetView workbookViewId="0">
      <selection activeCell="F3" sqref="F3"/>
    </sheetView>
  </sheetViews>
  <sheetFormatPr defaultColWidth="15.36328125" defaultRowHeight="22" customHeight="1"/>
  <cols>
    <col min="9" max="9" width="12.26953125" customWidth="1"/>
    <col min="10" max="10" width="24.1796875" customWidth="1"/>
  </cols>
  <sheetData>
    <row r="1" spans="1:10" ht="22" customHeight="1">
      <c r="A1" s="18" t="s">
        <v>111</v>
      </c>
      <c r="B1" s="18" t="s">
        <v>112</v>
      </c>
      <c r="C1" s="18" t="s">
        <v>113</v>
      </c>
      <c r="E1" s="18" t="s">
        <v>111</v>
      </c>
      <c r="F1" s="18" t="s">
        <v>112</v>
      </c>
      <c r="G1" s="18" t="s">
        <v>113</v>
      </c>
    </row>
    <row r="2" spans="1:10" ht="22" customHeight="1">
      <c r="A2" s="16" t="s">
        <v>74</v>
      </c>
      <c r="B2" s="16" t="s">
        <v>75</v>
      </c>
      <c r="C2" s="10">
        <v>305</v>
      </c>
      <c r="E2" s="2" t="str" cm="1">
        <f t="array" ref="E2:G21">TRIM(A2:C21)</f>
        <v>Mankey</v>
      </c>
      <c r="F2" s="2" t="str">
        <v>Fighting</v>
      </c>
      <c r="G2" s="2" t="str">
        <v>305</v>
      </c>
    </row>
    <row r="3" spans="1:10" ht="22" customHeight="1">
      <c r="A3" s="15" t="s">
        <v>76</v>
      </c>
      <c r="B3" s="14" t="s">
        <v>77</v>
      </c>
      <c r="C3" s="10">
        <v>510</v>
      </c>
      <c r="E3" s="2" t="str">
        <v>Poliwrath</v>
      </c>
      <c r="F3" s="2" t="str">
        <v>Water</v>
      </c>
      <c r="G3" s="2" t="str">
        <v>510</v>
      </c>
    </row>
    <row r="4" spans="1:10" ht="31.5" customHeight="1">
      <c r="A4" s="15" t="s">
        <v>78</v>
      </c>
      <c r="B4" s="14" t="s">
        <v>79</v>
      </c>
      <c r="C4" s="10">
        <v>490</v>
      </c>
      <c r="E4" s="2" t="str">
        <v>Victreebel</v>
      </c>
      <c r="F4" s="2" t="str">
        <v>Grass</v>
      </c>
      <c r="G4" s="2" t="str">
        <v>490</v>
      </c>
    </row>
    <row r="5" spans="1:10" ht="22" customHeight="1">
      <c r="A5" s="15" t="s">
        <v>80</v>
      </c>
      <c r="B5" s="14" t="s">
        <v>81</v>
      </c>
      <c r="C5" s="10">
        <v>335</v>
      </c>
      <c r="E5" s="2" t="str">
        <v>Tentacool</v>
      </c>
      <c r="F5" s="2" t="str">
        <v>Water</v>
      </c>
      <c r="G5" s="2" t="str">
        <v>335</v>
      </c>
    </row>
    <row r="6" spans="1:10" ht="22" customHeight="1">
      <c r="A6" s="15" t="s">
        <v>82</v>
      </c>
      <c r="B6" s="14" t="s">
        <v>83</v>
      </c>
      <c r="C6" s="10">
        <v>465</v>
      </c>
      <c r="E6" s="2" t="str">
        <v>Magneton</v>
      </c>
      <c r="F6" s="2" t="str">
        <v>Electric</v>
      </c>
      <c r="G6" s="2" t="str">
        <v>465</v>
      </c>
    </row>
    <row r="7" spans="1:10" ht="33.5" customHeight="1">
      <c r="A7" s="15" t="s">
        <v>84</v>
      </c>
      <c r="B7" s="14" t="s">
        <v>77</v>
      </c>
      <c r="C7" s="10">
        <v>475</v>
      </c>
      <c r="E7" s="2" t="str">
        <v>Dewgong</v>
      </c>
      <c r="F7" s="2" t="str">
        <v>Water</v>
      </c>
      <c r="G7" s="2" t="str">
        <v>475</v>
      </c>
      <c r="I7" s="6" t="s">
        <v>21</v>
      </c>
      <c r="J7" s="6" t="s">
        <v>22</v>
      </c>
    </row>
    <row r="8" spans="1:10" ht="22" customHeight="1">
      <c r="A8" s="10" t="s">
        <v>85</v>
      </c>
      <c r="B8" s="10" t="s">
        <v>86</v>
      </c>
      <c r="C8" s="10">
        <v>525</v>
      </c>
      <c r="E8" s="2" t="str">
        <v>Cloyster</v>
      </c>
      <c r="F8" s="2" t="str">
        <v>Water</v>
      </c>
      <c r="G8" s="2" t="str">
        <v>525</v>
      </c>
      <c r="I8" s="3" t="s">
        <v>72</v>
      </c>
      <c r="J8" s="9" t="s">
        <v>73</v>
      </c>
    </row>
    <row r="9" spans="1:10" ht="22" customHeight="1">
      <c r="A9" s="10" t="s">
        <v>87</v>
      </c>
      <c r="B9" s="10" t="s">
        <v>88</v>
      </c>
      <c r="C9" s="10">
        <v>385</v>
      </c>
      <c r="E9" s="2" t="str">
        <v>Onix</v>
      </c>
      <c r="F9" s="2" t="str">
        <v>Rock</v>
      </c>
      <c r="G9" s="2" t="str">
        <v>385</v>
      </c>
    </row>
    <row r="10" spans="1:10" ht="22" customHeight="1">
      <c r="A10" s="10" t="s">
        <v>89</v>
      </c>
      <c r="B10" s="10" t="s">
        <v>90</v>
      </c>
      <c r="C10" s="10">
        <v>420</v>
      </c>
      <c r="E10" s="2" t="str">
        <v>Dragonair</v>
      </c>
      <c r="F10" s="2" t="str">
        <v>Dragon</v>
      </c>
      <c r="G10" s="2" t="str">
        <v>420</v>
      </c>
    </row>
    <row r="11" spans="1:10" ht="22" customHeight="1">
      <c r="A11" s="10" t="s">
        <v>91</v>
      </c>
      <c r="B11" s="10" t="s">
        <v>92</v>
      </c>
      <c r="C11" s="10">
        <v>349</v>
      </c>
      <c r="E11" s="2" t="str">
        <v>Pidgeotto</v>
      </c>
      <c r="F11" s="2" t="str">
        <v>Normal</v>
      </c>
      <c r="G11" s="2" t="str">
        <v>349</v>
      </c>
    </row>
    <row r="12" spans="1:10" ht="22" customHeight="1">
      <c r="A12" s="10" t="s">
        <v>93</v>
      </c>
      <c r="B12" s="10" t="s">
        <v>94</v>
      </c>
      <c r="C12" s="10">
        <v>253</v>
      </c>
      <c r="E12" s="2" t="str">
        <v>Rattata</v>
      </c>
      <c r="F12" s="2" t="str">
        <v>Normal</v>
      </c>
      <c r="G12" s="2" t="str">
        <v>253</v>
      </c>
    </row>
    <row r="13" spans="1:10" ht="22" customHeight="1">
      <c r="A13" s="10" t="s">
        <v>95</v>
      </c>
      <c r="B13" s="10" t="s">
        <v>96</v>
      </c>
      <c r="C13" s="10">
        <v>395</v>
      </c>
      <c r="E13" s="2" t="str">
        <v>Beedrill</v>
      </c>
      <c r="F13" s="2" t="str">
        <v>Bug</v>
      </c>
      <c r="G13" s="2" t="str">
        <v>395</v>
      </c>
    </row>
    <row r="14" spans="1:10" ht="22" customHeight="1">
      <c r="A14" s="10" t="s">
        <v>97</v>
      </c>
      <c r="B14" s="10" t="s">
        <v>98</v>
      </c>
      <c r="C14" s="10">
        <v>310</v>
      </c>
      <c r="E14" s="2" t="str">
        <v>Doduo</v>
      </c>
      <c r="F14" s="2" t="str">
        <v>Normal</v>
      </c>
      <c r="G14" s="2" t="str">
        <v>310</v>
      </c>
    </row>
    <row r="15" spans="1:10" ht="22" customHeight="1">
      <c r="A15" s="10" t="s">
        <v>99</v>
      </c>
      <c r="B15" s="10" t="s">
        <v>77</v>
      </c>
      <c r="C15" s="10">
        <v>475</v>
      </c>
      <c r="E15" s="2" t="str">
        <v>Kingler</v>
      </c>
      <c r="F15" s="2" t="str">
        <v>Water</v>
      </c>
      <c r="G15" s="2" t="str">
        <v>475</v>
      </c>
    </row>
    <row r="16" spans="1:10" ht="22" customHeight="1">
      <c r="A16" s="10" t="s">
        <v>100</v>
      </c>
      <c r="B16" s="10" t="s">
        <v>101</v>
      </c>
      <c r="C16" s="10">
        <v>505</v>
      </c>
      <c r="E16" s="2" t="str">
        <v>Nidoqueen</v>
      </c>
      <c r="F16" s="2" t="str">
        <v>Poison</v>
      </c>
      <c r="G16" s="2" t="str">
        <v>505</v>
      </c>
    </row>
    <row r="17" spans="1:7" ht="22" customHeight="1">
      <c r="A17" s="10" t="s">
        <v>102</v>
      </c>
      <c r="B17" s="10" t="s">
        <v>103</v>
      </c>
      <c r="C17" s="10">
        <v>455</v>
      </c>
      <c r="E17" s="2" t="str">
        <v>Hitmonchan</v>
      </c>
      <c r="F17" s="2" t="str">
        <v>Fighting</v>
      </c>
      <c r="G17" s="2" t="str">
        <v>455</v>
      </c>
    </row>
    <row r="18" spans="1:7" ht="22" customHeight="1">
      <c r="A18" s="10" t="s">
        <v>104</v>
      </c>
      <c r="B18" s="10" t="s">
        <v>105</v>
      </c>
      <c r="C18" s="10">
        <v>405</v>
      </c>
      <c r="E18" s="2" t="str">
        <v>Charmeleon</v>
      </c>
      <c r="F18" s="2" t="str">
        <v>Fire</v>
      </c>
      <c r="G18" s="2" t="str">
        <v>405</v>
      </c>
    </row>
    <row r="19" spans="1:7" ht="22" customHeight="1">
      <c r="A19" s="10" t="s">
        <v>106</v>
      </c>
      <c r="B19" s="10" t="s">
        <v>107</v>
      </c>
      <c r="C19" s="10">
        <v>438</v>
      </c>
      <c r="E19" s="2" t="str">
        <v>Arbok</v>
      </c>
      <c r="F19" s="2" t="str">
        <v>Poison</v>
      </c>
      <c r="G19" s="2" t="str">
        <v>438</v>
      </c>
    </row>
    <row r="20" spans="1:7" ht="22" customHeight="1">
      <c r="A20" s="10" t="s">
        <v>108</v>
      </c>
      <c r="B20" s="10" t="s">
        <v>109</v>
      </c>
      <c r="C20" s="10">
        <v>310</v>
      </c>
      <c r="E20" s="2" t="str">
        <v>Gastly</v>
      </c>
      <c r="F20" s="2" t="str">
        <v>Ghost</v>
      </c>
      <c r="G20" s="2" t="str">
        <v>310</v>
      </c>
    </row>
    <row r="21" spans="1:7" ht="22" customHeight="1">
      <c r="A21" s="10" t="s">
        <v>110</v>
      </c>
      <c r="B21" s="10" t="s">
        <v>77</v>
      </c>
      <c r="C21" s="10">
        <v>200</v>
      </c>
      <c r="E21" s="2" t="str">
        <v>Magikarp</v>
      </c>
      <c r="F21" s="2" t="str">
        <v>Water</v>
      </c>
      <c r="G21" s="2" t="str">
        <v>200</v>
      </c>
    </row>
    <row r="22" spans="1:7" ht="22" customHeight="1">
      <c r="A22" s="17"/>
      <c r="B22" s="17"/>
      <c r="C2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3CE8-0C32-43E1-BF58-986639EF6976}">
  <dimension ref="A1:G6"/>
  <sheetViews>
    <sheetView workbookViewId="0">
      <selection activeCell="C2" sqref="C2:C6"/>
    </sheetView>
  </sheetViews>
  <sheetFormatPr defaultColWidth="17.6328125" defaultRowHeight="31" customHeight="1"/>
  <cols>
    <col min="7" max="7" width="33" customWidth="1"/>
  </cols>
  <sheetData>
    <row r="1" spans="1:7" ht="31" customHeight="1">
      <c r="A1" s="20" t="s">
        <v>114</v>
      </c>
      <c r="B1" s="20" t="s">
        <v>115</v>
      </c>
      <c r="C1" s="20" t="s">
        <v>0</v>
      </c>
    </row>
    <row r="2" spans="1:7" ht="31" customHeight="1">
      <c r="A2" s="3" t="s">
        <v>116</v>
      </c>
      <c r="B2" s="3" t="s">
        <v>117</v>
      </c>
      <c r="C2" s="3" t="str">
        <f>_xlfn.CONCAT(A2," ", B2)</f>
        <v>Ravi Kumar</v>
      </c>
      <c r="F2" s="19" t="s">
        <v>21</v>
      </c>
      <c r="G2" s="19" t="s">
        <v>22</v>
      </c>
    </row>
    <row r="3" spans="1:7" ht="31" customHeight="1">
      <c r="A3" s="3" t="s">
        <v>118</v>
      </c>
      <c r="B3" s="3" t="s">
        <v>119</v>
      </c>
      <c r="C3" s="3" t="str">
        <f t="shared" ref="C3:C6" si="0">_xlfn.CONCAT(A3," ", B3)</f>
        <v>Ananya Rao</v>
      </c>
      <c r="F3" s="1" t="s">
        <v>126</v>
      </c>
      <c r="G3" s="13" t="s">
        <v>127</v>
      </c>
    </row>
    <row r="4" spans="1:7" ht="31" customHeight="1">
      <c r="A4" s="3" t="s">
        <v>120</v>
      </c>
      <c r="B4" s="3" t="s">
        <v>121</v>
      </c>
      <c r="C4" s="3" t="str">
        <f t="shared" si="0"/>
        <v>Kiran Shetty</v>
      </c>
    </row>
    <row r="5" spans="1:7" ht="31" customHeight="1">
      <c r="A5" s="3" t="s">
        <v>122</v>
      </c>
      <c r="B5" s="3" t="s">
        <v>123</v>
      </c>
      <c r="C5" s="3" t="str">
        <f t="shared" si="0"/>
        <v>Sneha Patil</v>
      </c>
    </row>
    <row r="6" spans="1:7" ht="31" customHeight="1">
      <c r="A6" s="3" t="s">
        <v>124</v>
      </c>
      <c r="B6" s="3" t="s">
        <v>125</v>
      </c>
      <c r="C6" s="3" t="str">
        <f t="shared" si="0"/>
        <v>Rohit Sharma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C99F-3C12-40B3-985E-09D1C90C6A6A}">
  <dimension ref="A1:G6"/>
  <sheetViews>
    <sheetView workbookViewId="0">
      <selection activeCell="B3" sqref="B3"/>
    </sheetView>
  </sheetViews>
  <sheetFormatPr defaultColWidth="12.90625" defaultRowHeight="38.5" customHeight="1"/>
  <cols>
    <col min="2" max="2" width="36.6328125" customWidth="1"/>
    <col min="7" max="7" width="26.1796875" customWidth="1"/>
  </cols>
  <sheetData>
    <row r="1" spans="1:7" ht="38.5" customHeight="1">
      <c r="A1" s="20" t="s">
        <v>65</v>
      </c>
      <c r="B1" s="20" t="s">
        <v>128</v>
      </c>
    </row>
    <row r="2" spans="1:7" ht="38.5" customHeight="1">
      <c r="A2" s="3" t="s">
        <v>1</v>
      </c>
      <c r="B2" s="3" t="str" cm="1">
        <f t="array" ref="B2:B6">UPPER(A2:A6)</f>
        <v>RAVI KUMAR</v>
      </c>
    </row>
    <row r="3" spans="1:7" ht="38.5" customHeight="1">
      <c r="A3" s="3" t="s">
        <v>129</v>
      </c>
      <c r="B3" s="3" t="str">
        <v>ANANYA RAO</v>
      </c>
      <c r="F3" s="19" t="s">
        <v>21</v>
      </c>
      <c r="G3" s="19" t="s">
        <v>22</v>
      </c>
    </row>
    <row r="4" spans="1:7" ht="38.5" customHeight="1">
      <c r="A4" s="3" t="s">
        <v>3</v>
      </c>
      <c r="B4" s="3" t="str">
        <v>KIRAN SHETTY</v>
      </c>
      <c r="F4" s="1" t="s">
        <v>131</v>
      </c>
      <c r="G4" s="13" t="s">
        <v>132</v>
      </c>
    </row>
    <row r="5" spans="1:7" ht="38.5" customHeight="1">
      <c r="A5" s="3" t="s">
        <v>130</v>
      </c>
      <c r="B5" s="3" t="str">
        <v>SNEHA PATIL</v>
      </c>
    </row>
    <row r="6" spans="1:7" ht="38.5" customHeight="1">
      <c r="A6" s="3" t="s">
        <v>5</v>
      </c>
      <c r="B6" s="3" t="str">
        <v>ROHIT SHARMA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F0A0-6D04-4570-847D-77F812D03A6B}">
  <dimension ref="A1:E6"/>
  <sheetViews>
    <sheetView tabSelected="1" workbookViewId="0">
      <selection activeCell="B3" sqref="B3"/>
    </sheetView>
  </sheetViews>
  <sheetFormatPr defaultColWidth="18.54296875" defaultRowHeight="42" customHeight="1"/>
  <cols>
    <col min="1" max="1" width="21.54296875" bestFit="1" customWidth="1"/>
    <col min="2" max="2" width="21.26953125" customWidth="1"/>
    <col min="5" max="5" width="28.7265625" customWidth="1"/>
  </cols>
  <sheetData>
    <row r="1" spans="1:5" ht="42" customHeight="1">
      <c r="A1" s="20" t="s">
        <v>65</v>
      </c>
      <c r="B1" s="20" t="s">
        <v>133</v>
      </c>
    </row>
    <row r="2" spans="1:5" ht="42" customHeight="1">
      <c r="A2" s="3" t="s">
        <v>134</v>
      </c>
      <c r="B2" s="3" t="str" cm="1">
        <f t="array" ref="B2:B6">LOWER(A2:A6)</f>
        <v>product-xl-2025</v>
      </c>
    </row>
    <row r="3" spans="1:5" ht="42" customHeight="1">
      <c r="A3" s="3" t="s">
        <v>135</v>
      </c>
      <c r="B3" s="3" t="str">
        <v>customer_name</v>
      </c>
      <c r="D3" s="19" t="s">
        <v>21</v>
      </c>
      <c r="E3" s="19" t="s">
        <v>22</v>
      </c>
    </row>
    <row r="4" spans="1:5" ht="42" customHeight="1">
      <c r="A4" s="3" t="s">
        <v>136</v>
      </c>
      <c r="B4" s="3" t="str">
        <v>order-id-delhi</v>
      </c>
      <c r="D4" s="1" t="s">
        <v>139</v>
      </c>
      <c r="E4" s="13" t="s">
        <v>140</v>
      </c>
    </row>
    <row r="5" spans="1:5" ht="42" customHeight="1">
      <c r="A5" s="5" t="s">
        <v>137</v>
      </c>
      <c r="B5" s="3" t="str">
        <v>email@company.com</v>
      </c>
    </row>
    <row r="6" spans="1:5" ht="42" customHeight="1">
      <c r="A6" s="3" t="s">
        <v>138</v>
      </c>
      <c r="B6" s="3" t="str">
        <v>user_profile_01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LEFT</vt:lpstr>
      <vt:lpstr>RIGHT</vt:lpstr>
      <vt:lpstr>MID</vt:lpstr>
      <vt:lpstr>LEN</vt:lpstr>
      <vt:lpstr>TRIM</vt:lpstr>
      <vt:lpstr>CONCAT</vt:lpstr>
      <vt:lpstr>UPPER</vt:lpstr>
      <vt:lpstr>LOWER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2025-12-14T06:50:04Z</dcterms:created>
  <dcterms:modified xsi:type="dcterms:W3CDTF">2025-12-14T08:09:31Z</dcterms:modified>
</cp:coreProperties>
</file>
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a_2ifkq5d\Downloads\"/>
    </mc:Choice>
  </mc:AlternateContent>
  <xr:revisionPtr revIDLastSave="0" documentId="8_{24828C2B-900C-4901-93FE-D916A1949361}" xr6:coauthVersionLast="47" xr6:coauthVersionMax="47" xr10:uidLastSave="{00000000-0000-0000-0000-000000000000}"/>
  <bookViews>
    <workbookView xWindow="-110" yWindow="-110" windowWidth="19420" windowHeight="10300" activeTab="6" xr2:uid="{6A22F78A-5C7B-4438-9634-53617B3F0DF2}"/>
  </bookViews>
  <sheets>
    <sheet name="IF" sheetId="1" r:id="rId1"/>
    <sheet name="COUNTIF" sheetId="2" r:id="rId2"/>
    <sheet name="COUNTIFS" sheetId="3" r:id="rId3"/>
    <sheet name="SUMIF" sheetId="4" r:id="rId4"/>
    <sheet name="SUMIFS" sheetId="5" r:id="rId5"/>
    <sheet name="AVERAGEIF" sheetId="6" r:id="rId6"/>
    <sheet name="AVERAGEIF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7" l="1"/>
  <c r="H6" i="7"/>
  <c r="H7" i="7"/>
  <c r="F6" i="6"/>
  <c r="F7" i="6"/>
  <c r="F5" i="6"/>
  <c r="H5" i="5"/>
  <c r="H6" i="5"/>
  <c r="G4" i="4"/>
  <c r="H5" i="3"/>
  <c r="H6" i="3"/>
  <c r="H4" i="3"/>
  <c r="E7" i="3"/>
  <c r="E6" i="3"/>
  <c r="E5" i="3"/>
  <c r="E4" i="3"/>
  <c r="E3" i="3"/>
  <c r="E2" i="3"/>
  <c r="H5" i="2"/>
  <c r="H4" i="2"/>
  <c r="E7" i="2"/>
  <c r="E6" i="2"/>
  <c r="E5" i="2"/>
  <c r="E4" i="2"/>
  <c r="E3" i="2"/>
  <c r="E2" i="2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<sst xmlns="http://schemas.openxmlformats.org/spreadsheetml/2006/main" count="199" uniqueCount="78">
  <si>
    <t>Roll No</t>
  </si>
  <si>
    <t>Name</t>
  </si>
  <si>
    <t>Subject</t>
  </si>
  <si>
    <t>Marks</t>
  </si>
  <si>
    <t>Ravi</t>
  </si>
  <si>
    <t>Math</t>
  </si>
  <si>
    <t>Anu</t>
  </si>
  <si>
    <t>Kiran</t>
  </si>
  <si>
    <t>Sneha</t>
  </si>
  <si>
    <t>Manoj</t>
  </si>
  <si>
    <t>Priya</t>
  </si>
  <si>
    <t>Function</t>
  </si>
  <si>
    <t>IF</t>
  </si>
  <si>
    <t>Metric</t>
  </si>
  <si>
    <t>Value</t>
  </si>
  <si>
    <t>Pass Count</t>
  </si>
  <si>
    <t>Fail Count</t>
  </si>
  <si>
    <t>COUNTIF (Pass)</t>
  </si>
  <si>
    <t>COUNTIF (Fail)</t>
  </si>
  <si>
    <t>Formula (IF)</t>
  </si>
  <si>
    <t>Formula(COUNTIF)</t>
  </si>
  <si>
    <t>Pass &amp; Marks ≥ 70</t>
  </si>
  <si>
    <t>Result (IF)</t>
  </si>
  <si>
    <t>Operation</t>
  </si>
  <si>
    <t>Formula (Example)</t>
  </si>
  <si>
    <t>Countifs Pass &amp; Marks ≥ 70</t>
  </si>
  <si>
    <t>Date</t>
  </si>
  <si>
    <t>Category</t>
  </si>
  <si>
    <t>Amount</t>
  </si>
  <si>
    <t>Mode</t>
  </si>
  <si>
    <t>Rent</t>
  </si>
  <si>
    <t>UPI</t>
  </si>
  <si>
    <t>Groceries</t>
  </si>
  <si>
    <t>Cash</t>
  </si>
  <si>
    <t>Travel</t>
  </si>
  <si>
    <t>Electricity</t>
  </si>
  <si>
    <t>Card</t>
  </si>
  <si>
    <t>Total Groceries Expense</t>
  </si>
  <si>
    <t>SUMIF Groceries Amount</t>
  </si>
  <si>
    <t>Product</t>
  </si>
  <si>
    <t>Region</t>
  </si>
  <si>
    <t>Laptop</t>
  </si>
  <si>
    <t>Electronics</t>
  </si>
  <si>
    <t>South</t>
  </si>
  <si>
    <t>Mobile</t>
  </si>
  <si>
    <t>North</t>
  </si>
  <si>
    <t>Shoes</t>
  </si>
  <si>
    <t>Fashion</t>
  </si>
  <si>
    <t>Watch</t>
  </si>
  <si>
    <t>East</t>
  </si>
  <si>
    <t>TV</t>
  </si>
  <si>
    <t>Bag</t>
  </si>
  <si>
    <t>Total Amount</t>
  </si>
  <si>
    <t>SUMIFS by Category &amp; Region (drag)</t>
  </si>
  <si>
    <t>Meena</t>
  </si>
  <si>
    <t>Arjun</t>
  </si>
  <si>
    <t>Sita</t>
  </si>
  <si>
    <t>Neha</t>
  </si>
  <si>
    <t>Grocery</t>
  </si>
  <si>
    <t>Employee Name</t>
  </si>
  <si>
    <t>Rohit</t>
  </si>
  <si>
    <t>Ananya</t>
  </si>
  <si>
    <t>Average Amount</t>
  </si>
  <si>
    <t>City</t>
  </si>
  <si>
    <t>Bangalore</t>
  </si>
  <si>
    <t>Chennai</t>
  </si>
  <si>
    <t>Hyderabad</t>
  </si>
  <si>
    <t>Formula (Reference Style)</t>
  </si>
  <si>
    <t>=AVERAGEIFS(AmountRange, CategoryRange, CategoryCriteria, CityRange, CityCriteria)</t>
  </si>
  <si>
    <t>=IF(Marks &gt;= PassMark, "Pass", "Fail")</t>
  </si>
  <si>
    <t>=COUNTIF(ResultRange, "Pass")</t>
  </si>
  <si>
    <t>=COUNTIF(ResultRange, "Fail")</t>
  </si>
  <si>
    <t>=COUNTIFS(ResultRange, "Pass", MarksRange, "&gt;=PassMarks")</t>
  </si>
  <si>
    <t>=SUMIF(CategoryRange, "Groceries", AmountRange)</t>
  </si>
  <si>
    <t>=SUMIFS(AmountRange, CategoryRange, CategoryCriteria, RegionRange, RegionCriteria)</t>
  </si>
  <si>
    <t>AVERAGEIF (by Category)</t>
  </si>
  <si>
    <t>=AVERAGEIF(CategoryRange, CategoryCriteria, AmountRange)</t>
  </si>
  <si>
    <t>AVERAGEIFS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</si>
</sst>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1" fillId="0" borderId="0" xfId="0" quotePrefix="1" applyFont="1" applyAlignment="1">
      <alignment vertical="center" wrapText="1"/>
    </xf>
    <xf numFmtId="0" fontId="1" fillId="0" borderId="0" xfId="0" quotePrefix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C47A3-3AD2-4CAF-B68A-93B6025E2CAD}">
  <dimension ref="A1:H7"/>
  <sheetViews>
    <sheetView workbookViewId="0">
      <selection activeCell="H5" sqref="H5"/>
    </sheetView>
  </sheetViews>
  <sheetFormatPr defaultColWidth="12.36328125" defaultRowHeight="24" customHeight="1"/>
  <cols>
    <col min="7" max="7" width="18.1796875" customWidth="1"/>
    <col min="8" max="8" width="32.90625" customWidth="1"/>
    <col min="11" max="11" width="24.08984375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8" ht="24" customHeight="1">
      <c r="A2" s="2">
        <v>101</v>
      </c>
      <c r="B2" s="2" t="s">
        <v>4</v>
      </c>
      <c r="C2" s="2" t="s">
        <v>5</v>
      </c>
      <c r="D2" s="2">
        <v>78</v>
      </c>
      <c r="E2" s="3" t="str">
        <f>IF(D2&gt;=50,"Pass","Fail")</f>
        <v>Pass</v>
      </c>
    </row>
    <row r="3" spans="1:8" ht="24" customHeight="1">
      <c r="A3" s="2">
        <v>102</v>
      </c>
      <c r="B3" s="2" t="s">
        <v>6</v>
      </c>
      <c r="C3" s="2" t="s">
        <v>5</v>
      </c>
      <c r="D3" s="2">
        <v>42</v>
      </c>
      <c r="E3" s="3" t="str">
        <f t="shared" ref="E3:E7" si="0">IF(D3&gt;=50,"Pass","Fail")</f>
        <v>Fail</v>
      </c>
    </row>
    <row r="4" spans="1:8" ht="25.5" customHeight="1">
      <c r="A4" s="2">
        <v>103</v>
      </c>
      <c r="B4" s="2" t="s">
        <v>7</v>
      </c>
      <c r="C4" s="2" t="s">
        <v>5</v>
      </c>
      <c r="D4" s="2">
        <v>65</v>
      </c>
      <c r="E4" s="3" t="str">
        <f t="shared" si="0"/>
        <v>Pass</v>
      </c>
      <c r="G4" s="1" t="s">
        <v>11</v>
      </c>
      <c r="H4" s="1" t="s">
        <v>19</v>
      </c>
    </row>
    <row r="5" spans="1:8" ht="33.5" customHeight="1">
      <c r="A5" s="2">
        <v>104</v>
      </c>
      <c r="B5" s="2" t="s">
        <v>8</v>
      </c>
      <c r="C5" s="2" t="s">
        <v>5</v>
      </c>
      <c r="D5" s="2">
        <v>88</v>
      </c>
      <c r="E5" s="3" t="str">
        <f t="shared" si="0"/>
        <v>Pass</v>
      </c>
      <c r="G5" s="2" t="s">
        <v>12</v>
      </c>
      <c r="H5" s="4" t="s">
        <v>69</v>
      </c>
    </row>
    <row r="6" spans="1:8" ht="35.5" customHeight="1">
      <c r="A6" s="2">
        <v>105</v>
      </c>
      <c r="B6" s="2" t="s">
        <v>9</v>
      </c>
      <c r="C6" s="2" t="s">
        <v>5</v>
      </c>
      <c r="D6" s="2">
        <v>35</v>
      </c>
      <c r="E6" s="3" t="str">
        <f t="shared" si="0"/>
        <v>Fail</v>
      </c>
    </row>
    <row r="7" spans="1:8" ht="24" customHeight="1">
      <c r="A7" s="2">
        <v>106</v>
      </c>
      <c r="B7" s="2" t="s">
        <v>10</v>
      </c>
      <c r="C7" s="2" t="s">
        <v>5</v>
      </c>
      <c r="D7" s="2">
        <v>55</v>
      </c>
      <c r="E7" s="3" t="str">
        <f t="shared" si="0"/>
        <v>Pass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5357-525A-48D7-B74A-5ED1EE4875CA}">
  <dimension ref="A1:K7"/>
  <sheetViews>
    <sheetView workbookViewId="0">
      <selection activeCell="L5" sqref="L5"/>
    </sheetView>
  </sheetViews>
  <sheetFormatPr defaultColWidth="11.54296875" defaultRowHeight="33" customHeight="1"/>
  <cols>
    <col min="7" max="7" width="13.81640625" customWidth="1"/>
    <col min="10" max="10" width="14.81640625" customWidth="1"/>
    <col min="11" max="11" width="28.6328125" customWidth="1"/>
  </cols>
  <sheetData>
    <row r="1" spans="1:11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11" ht="33" customHeight="1">
      <c r="A2" s="2">
        <v>101</v>
      </c>
      <c r="B2" s="2" t="s">
        <v>4</v>
      </c>
      <c r="C2" s="2" t="s">
        <v>5</v>
      </c>
      <c r="D2" s="2">
        <v>78</v>
      </c>
      <c r="E2" s="3" t="str">
        <f>IF(D2&gt;=50,"Pass","Fail")</f>
        <v>Pass</v>
      </c>
    </row>
    <row r="3" spans="1:11" ht="33" customHeight="1">
      <c r="A3" s="2">
        <v>102</v>
      </c>
      <c r="B3" s="2" t="s">
        <v>6</v>
      </c>
      <c r="C3" s="2" t="s">
        <v>5</v>
      </c>
      <c r="D3" s="2">
        <v>42</v>
      </c>
      <c r="E3" s="3" t="str">
        <f t="shared" ref="E3:E7" si="0">IF(D3&gt;=50,"Pass","Fail")</f>
        <v>Fail</v>
      </c>
      <c r="G3" s="1" t="s">
        <v>13</v>
      </c>
      <c r="H3" s="1" t="s">
        <v>14</v>
      </c>
      <c r="J3" s="1" t="s">
        <v>11</v>
      </c>
      <c r="K3" s="1" t="s">
        <v>20</v>
      </c>
    </row>
    <row r="4" spans="1:11" ht="33" customHeight="1">
      <c r="A4" s="2">
        <v>103</v>
      </c>
      <c r="B4" s="2" t="s">
        <v>7</v>
      </c>
      <c r="C4" s="2" t="s">
        <v>5</v>
      </c>
      <c r="D4" s="2">
        <v>65</v>
      </c>
      <c r="E4" s="3" t="str">
        <f t="shared" si="0"/>
        <v>Pass</v>
      </c>
      <c r="G4" s="2" t="s">
        <v>15</v>
      </c>
      <c r="H4" s="2">
        <f>COUNTIF(IF!E2:E7,"Pass")</f>
        <v>4</v>
      </c>
      <c r="J4" s="2" t="s">
        <v>17</v>
      </c>
      <c r="K4" s="4" t="s">
        <v>70</v>
      </c>
    </row>
    <row r="5" spans="1:11" ht="33" customHeight="1">
      <c r="A5" s="2">
        <v>104</v>
      </c>
      <c r="B5" s="2" t="s">
        <v>8</v>
      </c>
      <c r="C5" s="2" t="s">
        <v>5</v>
      </c>
      <c r="D5" s="2">
        <v>88</v>
      </c>
      <c r="E5" s="3" t="str">
        <f t="shared" si="0"/>
        <v>Pass</v>
      </c>
      <c r="G5" s="2" t="s">
        <v>16</v>
      </c>
      <c r="H5" s="2">
        <f>COUNTIF(IF!E2:E7,"Fail")</f>
        <v>2</v>
      </c>
      <c r="J5" s="2" t="s">
        <v>18</v>
      </c>
      <c r="K5" s="4" t="s">
        <v>71</v>
      </c>
    </row>
    <row r="6" spans="1:11" ht="33" customHeight="1">
      <c r="A6" s="2">
        <v>105</v>
      </c>
      <c r="B6" s="2" t="s">
        <v>9</v>
      </c>
      <c r="C6" s="2" t="s">
        <v>5</v>
      </c>
      <c r="D6" s="2">
        <v>35</v>
      </c>
      <c r="E6" s="3" t="str">
        <f t="shared" si="0"/>
        <v>Fail</v>
      </c>
    </row>
    <row r="7" spans="1:11" ht="33" customHeight="1">
      <c r="A7" s="2">
        <v>106</v>
      </c>
      <c r="B7" s="2" t="s">
        <v>10</v>
      </c>
      <c r="C7" s="2" t="s">
        <v>5</v>
      </c>
      <c r="D7" s="2">
        <v>55</v>
      </c>
      <c r="E7" s="3" t="str">
        <f t="shared" si="0"/>
        <v>Pass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775B-F621-427F-8CE9-71D167F3D7E3}">
  <dimension ref="A1:K7"/>
  <sheetViews>
    <sheetView workbookViewId="0">
      <selection activeCell="K5" sqref="K5"/>
    </sheetView>
  </sheetViews>
  <sheetFormatPr defaultColWidth="11.6328125" defaultRowHeight="35.5" customHeight="1"/>
  <cols>
    <col min="7" max="7" width="15.90625" bestFit="1" customWidth="1"/>
    <col min="8" max="8" width="5.54296875" bestFit="1" customWidth="1"/>
    <col min="10" max="10" width="23.453125" bestFit="1" customWidth="1"/>
    <col min="11" max="11" width="36.26953125" customWidth="1"/>
  </cols>
  <sheetData>
    <row r="1" spans="1:11" ht="3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11" ht="35.5" customHeight="1">
      <c r="A2" s="2">
        <v>101</v>
      </c>
      <c r="B2" s="2" t="s">
        <v>4</v>
      </c>
      <c r="C2" s="2" t="s">
        <v>5</v>
      </c>
      <c r="D2" s="2">
        <v>78</v>
      </c>
      <c r="E2" s="5" t="str">
        <f>IF(D2&gt;=50,"Pass","Fail")</f>
        <v>Pass</v>
      </c>
    </row>
    <row r="3" spans="1:11" ht="35.5" customHeight="1">
      <c r="A3" s="2">
        <v>102</v>
      </c>
      <c r="B3" s="2" t="s">
        <v>6</v>
      </c>
      <c r="C3" s="2" t="s">
        <v>5</v>
      </c>
      <c r="D3" s="2">
        <v>42</v>
      </c>
      <c r="E3" s="5" t="str">
        <f t="shared" ref="E3:E7" si="0">IF(D3&gt;=50,"Pass","Fail")</f>
        <v>Fail</v>
      </c>
      <c r="G3" s="1" t="s">
        <v>13</v>
      </c>
      <c r="H3" s="1" t="s">
        <v>14</v>
      </c>
      <c r="J3" s="1" t="s">
        <v>23</v>
      </c>
      <c r="K3" s="1" t="s">
        <v>24</v>
      </c>
    </row>
    <row r="4" spans="1:11" ht="35.5" customHeight="1">
      <c r="A4" s="2">
        <v>103</v>
      </c>
      <c r="B4" s="2" t="s">
        <v>7</v>
      </c>
      <c r="C4" s="2" t="s">
        <v>5</v>
      </c>
      <c r="D4" s="2">
        <v>65</v>
      </c>
      <c r="E4" s="5" t="str">
        <f t="shared" si="0"/>
        <v>Pass</v>
      </c>
      <c r="G4" s="2" t="s">
        <v>15</v>
      </c>
      <c r="H4" s="2">
        <f>COUNTIFS($E$2:$E$7,"Pass",$D$2:$D$7,"&gt;=70")</f>
        <v>2</v>
      </c>
      <c r="J4" s="2" t="s">
        <v>25</v>
      </c>
      <c r="K4" s="4" t="s">
        <v>72</v>
      </c>
    </row>
    <row r="5" spans="1:11" ht="35.5" customHeight="1">
      <c r="A5" s="2">
        <v>104</v>
      </c>
      <c r="B5" s="2" t="s">
        <v>8</v>
      </c>
      <c r="C5" s="2" t="s">
        <v>5</v>
      </c>
      <c r="D5" s="2">
        <v>88</v>
      </c>
      <c r="E5" s="5" t="str">
        <f t="shared" si="0"/>
        <v>Pass</v>
      </c>
      <c r="G5" s="2" t="s">
        <v>16</v>
      </c>
      <c r="H5" s="2">
        <f t="shared" ref="H5:H6" si="1">COUNTIFS($E$2:$E$7,"Pass",$D$2:$D$7,"&gt;=70")</f>
        <v>2</v>
      </c>
    </row>
    <row r="6" spans="1:11" ht="35.5" customHeight="1">
      <c r="A6" s="2">
        <v>105</v>
      </c>
      <c r="B6" s="2" t="s">
        <v>9</v>
      </c>
      <c r="C6" s="2" t="s">
        <v>5</v>
      </c>
      <c r="D6" s="2">
        <v>35</v>
      </c>
      <c r="E6" s="5" t="str">
        <f t="shared" si="0"/>
        <v>Fail</v>
      </c>
      <c r="G6" s="2" t="s">
        <v>21</v>
      </c>
      <c r="H6" s="2">
        <f t="shared" si="1"/>
        <v>2</v>
      </c>
    </row>
    <row r="7" spans="1:11" ht="35.5" customHeight="1">
      <c r="A7" s="2">
        <v>106</v>
      </c>
      <c r="B7" s="2" t="s">
        <v>10</v>
      </c>
      <c r="C7" s="2" t="s">
        <v>5</v>
      </c>
      <c r="D7" s="2">
        <v>55</v>
      </c>
      <c r="E7" s="5" t="str">
        <f t="shared" si="0"/>
        <v>Pass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C5E6-E2A6-496B-B719-857C39136A3A}">
  <dimension ref="A1:J7"/>
  <sheetViews>
    <sheetView workbookViewId="0">
      <selection activeCell="G4" sqref="G4"/>
    </sheetView>
  </sheetViews>
  <sheetFormatPr defaultColWidth="14.81640625" defaultRowHeight="26" customHeight="1"/>
  <cols>
    <col min="6" max="6" width="13.453125" bestFit="1" customWidth="1"/>
    <col min="7" max="7" width="5.54296875" bestFit="1" customWidth="1"/>
    <col min="8" max="8" width="7.453125" customWidth="1"/>
    <col min="9" max="9" width="14.6328125" bestFit="1" customWidth="1"/>
    <col min="10" max="10" width="43.453125" customWidth="1"/>
  </cols>
  <sheetData>
    <row r="1" spans="1:10" ht="26" customHeight="1">
      <c r="A1" s="1" t="s">
        <v>26</v>
      </c>
      <c r="B1" s="1" t="s">
        <v>27</v>
      </c>
      <c r="C1" s="1" t="s">
        <v>28</v>
      </c>
      <c r="D1" s="1" t="s">
        <v>29</v>
      </c>
    </row>
    <row r="2" spans="1:10" ht="26" customHeight="1">
      <c r="A2" s="7">
        <v>45658</v>
      </c>
      <c r="B2" s="2" t="s">
        <v>30</v>
      </c>
      <c r="C2" s="2">
        <v>12000</v>
      </c>
      <c r="D2" s="2" t="s">
        <v>31</v>
      </c>
    </row>
    <row r="3" spans="1:10" ht="26" customHeight="1">
      <c r="A3" s="7">
        <v>45660</v>
      </c>
      <c r="B3" s="2" t="s">
        <v>32</v>
      </c>
      <c r="C3" s="2">
        <v>3200</v>
      </c>
      <c r="D3" s="2" t="s">
        <v>33</v>
      </c>
      <c r="F3" s="1" t="s">
        <v>13</v>
      </c>
      <c r="G3" s="1" t="s">
        <v>14</v>
      </c>
      <c r="I3" s="11" t="s">
        <v>23</v>
      </c>
      <c r="J3" s="11" t="s">
        <v>24</v>
      </c>
    </row>
    <row r="4" spans="1:10" ht="32" customHeight="1">
      <c r="A4" s="7">
        <v>45662</v>
      </c>
      <c r="B4" s="2" t="s">
        <v>34</v>
      </c>
      <c r="C4" s="2">
        <v>1500</v>
      </c>
      <c r="D4" s="2" t="s">
        <v>33</v>
      </c>
      <c r="F4" s="2" t="s">
        <v>37</v>
      </c>
      <c r="G4" s="8">
        <f>SUMIF($B$2:$B$7,"Groceries",$C$2:$C$7)</f>
        <v>6000</v>
      </c>
      <c r="I4" s="9" t="s">
        <v>38</v>
      </c>
      <c r="J4" s="10" t="s">
        <v>73</v>
      </c>
    </row>
    <row r="5" spans="1:10" ht="26" customHeight="1">
      <c r="A5" s="7">
        <v>45664</v>
      </c>
      <c r="B5" s="2" t="s">
        <v>32</v>
      </c>
      <c r="C5" s="2">
        <v>2800</v>
      </c>
      <c r="D5" s="2" t="s">
        <v>31</v>
      </c>
    </row>
    <row r="6" spans="1:10" ht="26" customHeight="1">
      <c r="A6" s="7">
        <v>45667</v>
      </c>
      <c r="B6" s="2" t="s">
        <v>35</v>
      </c>
      <c r="C6" s="2">
        <v>1800</v>
      </c>
      <c r="D6" s="2" t="s">
        <v>31</v>
      </c>
    </row>
    <row r="7" spans="1:10" ht="26" customHeight="1">
      <c r="A7" s="7">
        <v>45672</v>
      </c>
      <c r="B7" s="2" t="s">
        <v>34</v>
      </c>
      <c r="C7" s="2">
        <v>2200</v>
      </c>
      <c r="D7" s="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7B73-3535-4584-B690-F512E555409D}">
  <dimension ref="A1:K7"/>
  <sheetViews>
    <sheetView workbookViewId="0">
      <selection activeCell="H5" sqref="H5"/>
    </sheetView>
  </sheetViews>
  <sheetFormatPr defaultColWidth="14.36328125" defaultRowHeight="27" customHeight="1"/>
  <cols>
    <col min="5" max="5" width="11.26953125" customWidth="1"/>
    <col min="6" max="6" width="10.1796875" customWidth="1"/>
    <col min="7" max="7" width="6.453125" bestFit="1" customWidth="1"/>
    <col min="8" max="8" width="12.36328125" bestFit="1" customWidth="1"/>
    <col min="9" max="9" width="7.1796875" customWidth="1"/>
    <col min="10" max="10" width="19" customWidth="1"/>
    <col min="11" max="11" width="43.54296875" customWidth="1"/>
  </cols>
  <sheetData>
    <row r="1" spans="1:11" ht="27" customHeight="1">
      <c r="A1" s="14" t="s">
        <v>39</v>
      </c>
      <c r="B1" s="14" t="s">
        <v>27</v>
      </c>
      <c r="C1" s="14" t="s">
        <v>40</v>
      </c>
      <c r="D1" s="14" t="s">
        <v>28</v>
      </c>
    </row>
    <row r="2" spans="1:11" ht="27" customHeight="1">
      <c r="A2" s="6" t="s">
        <v>41</v>
      </c>
      <c r="B2" s="6" t="s">
        <v>42</v>
      </c>
      <c r="C2" s="6" t="s">
        <v>43</v>
      </c>
      <c r="D2" s="6">
        <v>55000</v>
      </c>
    </row>
    <row r="3" spans="1:11" ht="27" customHeight="1">
      <c r="A3" s="6" t="s">
        <v>44</v>
      </c>
      <c r="B3" s="6" t="s">
        <v>42</v>
      </c>
      <c r="C3" s="6" t="s">
        <v>45</v>
      </c>
      <c r="D3" s="6">
        <v>25000</v>
      </c>
      <c r="E3" s="15"/>
    </row>
    <row r="4" spans="1:11" ht="27" customHeight="1">
      <c r="A4" s="6" t="s">
        <v>46</v>
      </c>
      <c r="B4" s="6" t="s">
        <v>47</v>
      </c>
      <c r="C4" s="6" t="s">
        <v>43</v>
      </c>
      <c r="D4" s="6">
        <v>2000</v>
      </c>
      <c r="E4" s="16"/>
      <c r="F4" s="14" t="s">
        <v>27</v>
      </c>
      <c r="G4" s="14" t="s">
        <v>40</v>
      </c>
      <c r="H4" s="14" t="s">
        <v>52</v>
      </c>
      <c r="J4" s="14" t="s">
        <v>23</v>
      </c>
      <c r="K4" s="14" t="s">
        <v>24</v>
      </c>
    </row>
    <row r="5" spans="1:11" ht="53" customHeight="1">
      <c r="A5" s="6" t="s">
        <v>48</v>
      </c>
      <c r="B5" s="6" t="s">
        <v>47</v>
      </c>
      <c r="C5" s="6" t="s">
        <v>49</v>
      </c>
      <c r="D5" s="6">
        <v>1500</v>
      </c>
      <c r="E5" s="16"/>
      <c r="F5" s="6" t="s">
        <v>42</v>
      </c>
      <c r="G5" s="6" t="s">
        <v>43</v>
      </c>
      <c r="H5" s="6">
        <f>SUMIFS($D$2:$D$7,$B$2:$B$7,F5,$C$2:$C$7,G5)</f>
        <v>95000</v>
      </c>
      <c r="J5" s="6" t="s">
        <v>53</v>
      </c>
      <c r="K5" s="17" t="s">
        <v>74</v>
      </c>
    </row>
    <row r="6" spans="1:11" ht="27" customHeight="1">
      <c r="A6" s="6" t="s">
        <v>50</v>
      </c>
      <c r="B6" s="6" t="s">
        <v>42</v>
      </c>
      <c r="C6" s="6" t="s">
        <v>43</v>
      </c>
      <c r="D6" s="6">
        <v>40000</v>
      </c>
      <c r="E6" s="12"/>
      <c r="F6" s="6" t="s">
        <v>47</v>
      </c>
      <c r="G6" s="6" t="s">
        <v>43</v>
      </c>
      <c r="H6" s="6">
        <f>SUMIFS($D$2:$D$7,$B$2:$B$7,F6,$C$2:$C$7,G6)</f>
        <v>3200</v>
      </c>
    </row>
    <row r="7" spans="1:11" ht="27" customHeight="1">
      <c r="A7" s="6" t="s">
        <v>51</v>
      </c>
      <c r="B7" s="6" t="s">
        <v>47</v>
      </c>
      <c r="C7" s="6" t="s">
        <v>43</v>
      </c>
      <c r="D7" s="6">
        <v>1200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7D1C-E02B-418E-A896-7BD545D5FFD1}">
  <dimension ref="A1:I9"/>
  <sheetViews>
    <sheetView workbookViewId="0">
      <selection activeCell="G6" sqref="G6"/>
    </sheetView>
  </sheetViews>
  <sheetFormatPr defaultColWidth="12.90625" defaultRowHeight="30.5" customHeight="1"/>
  <cols>
    <col min="8" max="8" width="14.81640625" customWidth="1"/>
    <col min="9" max="9" width="54.7265625" customWidth="1"/>
  </cols>
  <sheetData>
    <row r="1" spans="1:9" ht="30.5" customHeight="1">
      <c r="A1" s="14" t="s">
        <v>59</v>
      </c>
      <c r="B1" s="14" t="s">
        <v>27</v>
      </c>
      <c r="C1" s="14" t="s">
        <v>28</v>
      </c>
      <c r="D1" s="15"/>
    </row>
    <row r="2" spans="1:9" ht="30.5" customHeight="1">
      <c r="A2" s="2" t="s">
        <v>4</v>
      </c>
      <c r="B2" s="2" t="s">
        <v>42</v>
      </c>
      <c r="C2" s="2">
        <v>42000</v>
      </c>
      <c r="D2" s="13"/>
    </row>
    <row r="3" spans="1:9" ht="30.5" customHeight="1">
      <c r="A3" s="2" t="s">
        <v>54</v>
      </c>
      <c r="B3" s="2" t="s">
        <v>47</v>
      </c>
      <c r="C3" s="2">
        <v>28000</v>
      </c>
      <c r="D3" s="13"/>
    </row>
    <row r="4" spans="1:9" ht="50.5" customHeight="1">
      <c r="A4" s="2" t="s">
        <v>55</v>
      </c>
      <c r="B4" s="2" t="s">
        <v>42</v>
      </c>
      <c r="C4" s="2">
        <v>55000</v>
      </c>
      <c r="D4" s="13"/>
      <c r="E4" s="14" t="s">
        <v>27</v>
      </c>
      <c r="F4" s="14" t="s">
        <v>62</v>
      </c>
      <c r="H4" s="14" t="s">
        <v>11</v>
      </c>
      <c r="I4" s="14" t="s">
        <v>67</v>
      </c>
    </row>
    <row r="5" spans="1:9" ht="30.5" customHeight="1">
      <c r="A5" s="2" t="s">
        <v>7</v>
      </c>
      <c r="B5" s="2" t="s">
        <v>58</v>
      </c>
      <c r="C5" s="2">
        <v>18000</v>
      </c>
      <c r="D5" s="13"/>
      <c r="E5" s="6" t="s">
        <v>42</v>
      </c>
      <c r="F5" s="6">
        <f>AVERAGEIF($B$2:$B$9,E5,$C$2:$C$9)</f>
        <v>52333.333333333336</v>
      </c>
      <c r="H5" s="6" t="s">
        <v>75</v>
      </c>
      <c r="I5" s="17" t="s">
        <v>76</v>
      </c>
    </row>
    <row r="6" spans="1:9" ht="30.5" customHeight="1">
      <c r="A6" s="2" t="s">
        <v>56</v>
      </c>
      <c r="B6" s="2" t="s">
        <v>47</v>
      </c>
      <c r="C6" s="2">
        <v>32000</v>
      </c>
      <c r="D6" s="13"/>
      <c r="E6" s="6" t="s">
        <v>47</v>
      </c>
      <c r="F6" s="6">
        <f t="shared" ref="F6:F7" si="0">AVERAGEIF($B$2:$B$9,E6,$C$2:$C$9)</f>
        <v>30000</v>
      </c>
      <c r="H6" s="16"/>
      <c r="I6" s="18"/>
    </row>
    <row r="7" spans="1:9" ht="30.5" customHeight="1">
      <c r="A7" s="2" t="s">
        <v>57</v>
      </c>
      <c r="B7" s="2" t="s">
        <v>42</v>
      </c>
      <c r="C7" s="2">
        <v>60000</v>
      </c>
      <c r="D7" s="13"/>
      <c r="E7" s="6" t="s">
        <v>58</v>
      </c>
      <c r="F7" s="6">
        <f t="shared" si="0"/>
        <v>20000</v>
      </c>
      <c r="H7" s="16"/>
      <c r="I7" s="18"/>
    </row>
    <row r="8" spans="1:9" ht="30.5" customHeight="1">
      <c r="A8" s="2" t="s">
        <v>60</v>
      </c>
      <c r="B8" s="2" t="s">
        <v>58</v>
      </c>
      <c r="C8" s="2">
        <v>22000</v>
      </c>
    </row>
    <row r="9" spans="1:9" ht="30.5" customHeight="1">
      <c r="A9" s="2" t="s">
        <v>61</v>
      </c>
      <c r="B9" s="2" t="s">
        <v>47</v>
      </c>
      <c r="C9" s="2">
        <v>30000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5115-D2DB-4239-BB6A-0C8FA31F43D2}">
  <dimension ref="A1:K9"/>
  <sheetViews>
    <sheetView tabSelected="1" workbookViewId="0">
      <selection activeCell="E1" sqref="E1"/>
    </sheetView>
  </sheetViews>
  <sheetFormatPr defaultColWidth="11.08984375" defaultRowHeight="28.5" customHeight="1"/>
  <cols>
    <col min="1" max="1" width="14.453125" bestFit="1" customWidth="1"/>
    <col min="5" max="5" width="7.81640625" customWidth="1"/>
    <col min="6" max="6" width="9.7265625" bestFit="1" customWidth="1"/>
    <col min="7" max="7" width="9.1796875" bestFit="1" customWidth="1"/>
    <col min="8" max="8" width="8.7265625" customWidth="1"/>
    <col min="9" max="9" width="6.36328125" customWidth="1"/>
    <col min="10" max="10" width="20.7265625" bestFit="1" customWidth="1"/>
    <col min="11" max="11" width="53.36328125" customWidth="1"/>
  </cols>
  <sheetData>
    <row r="1" spans="1:11" ht="28.5" customHeight="1">
      <c r="A1" s="14" t="s">
        <v>59</v>
      </c>
      <c r="B1" s="14" t="s">
        <v>27</v>
      </c>
      <c r="C1" s="14" t="s">
        <v>28</v>
      </c>
      <c r="D1" s="14" t="s">
        <v>63</v>
      </c>
    </row>
    <row r="2" spans="1:11" ht="28.5" customHeight="1">
      <c r="A2" s="2" t="s">
        <v>4</v>
      </c>
      <c r="B2" s="2" t="s">
        <v>42</v>
      </c>
      <c r="C2" s="2">
        <v>42000</v>
      </c>
      <c r="D2" s="2" t="s">
        <v>64</v>
      </c>
    </row>
    <row r="3" spans="1:11" ht="28.5" customHeight="1">
      <c r="A3" s="2" t="s">
        <v>54</v>
      </c>
      <c r="B3" s="2" t="s">
        <v>47</v>
      </c>
      <c r="C3" s="2">
        <v>28000</v>
      </c>
      <c r="D3" s="2" t="s">
        <v>65</v>
      </c>
    </row>
    <row r="4" spans="1:11" ht="28.5" customHeight="1">
      <c r="A4" s="2" t="s">
        <v>55</v>
      </c>
      <c r="B4" s="2" t="s">
        <v>42</v>
      </c>
      <c r="C4" s="2">
        <v>55000</v>
      </c>
      <c r="D4" s="2" t="s">
        <v>64</v>
      </c>
      <c r="F4" s="14" t="s">
        <v>27</v>
      </c>
      <c r="G4" s="14" t="s">
        <v>63</v>
      </c>
      <c r="H4" s="14" t="s">
        <v>62</v>
      </c>
      <c r="J4" s="14" t="s">
        <v>11</v>
      </c>
      <c r="K4" s="14" t="s">
        <v>67</v>
      </c>
    </row>
    <row r="5" spans="1:11" ht="28.5" customHeight="1">
      <c r="A5" s="2" t="s">
        <v>7</v>
      </c>
      <c r="B5" s="2" t="s">
        <v>58</v>
      </c>
      <c r="C5" s="2">
        <v>18000</v>
      </c>
      <c r="D5" s="2" t="s">
        <v>66</v>
      </c>
      <c r="F5" s="6" t="s">
        <v>42</v>
      </c>
      <c r="G5" s="6" t="s">
        <v>64</v>
      </c>
      <c r="H5" s="6">
        <f>AVERAGEIFS($C$2:$C$9,$B$2:$B$9,F5,$D$2:$D$9,G5)</f>
        <v>48500</v>
      </c>
      <c r="J5" s="6" t="s">
        <v>77</v>
      </c>
      <c r="K5" s="17" t="s">
        <v>68</v>
      </c>
    </row>
    <row r="6" spans="1:11" ht="28.5" customHeight="1">
      <c r="A6" s="2" t="s">
        <v>56</v>
      </c>
      <c r="B6" s="2" t="s">
        <v>47</v>
      </c>
      <c r="C6" s="2">
        <v>32000</v>
      </c>
      <c r="D6" s="2" t="s">
        <v>64</v>
      </c>
      <c r="F6" s="6" t="s">
        <v>47</v>
      </c>
      <c r="G6" s="6" t="s">
        <v>64</v>
      </c>
      <c r="H6" s="6">
        <f>AVERAGEIFS($C$2:$C$9,$B$2:$B$9,F6,$D$2:$D$9,G6)</f>
        <v>32000</v>
      </c>
      <c r="J6" s="12"/>
      <c r="K6" s="19"/>
    </row>
    <row r="7" spans="1:11" ht="28.5" customHeight="1">
      <c r="A7" s="2" t="s">
        <v>57</v>
      </c>
      <c r="B7" s="2" t="s">
        <v>42</v>
      </c>
      <c r="C7" s="2">
        <v>60000</v>
      </c>
      <c r="D7" s="2" t="s">
        <v>65</v>
      </c>
      <c r="F7" s="6" t="s">
        <v>58</v>
      </c>
      <c r="G7" s="6" t="s">
        <v>64</v>
      </c>
      <c r="H7" s="6">
        <f>AVERAGEIFS($C$2:$C$9,$B$2:$B$9,F7,$D$2:$D$9,G7)</f>
        <v>22000</v>
      </c>
      <c r="J7" s="12"/>
      <c r="K7" s="19"/>
    </row>
    <row r="8" spans="1:11" ht="28.5" customHeight="1">
      <c r="A8" s="2" t="s">
        <v>60</v>
      </c>
      <c r="B8" s="2" t="s">
        <v>58</v>
      </c>
      <c r="C8" s="2">
        <v>22000</v>
      </c>
      <c r="D8" s="2" t="s">
        <v>64</v>
      </c>
    </row>
    <row r="9" spans="1:11" ht="28.5" customHeight="1">
      <c r="A9" s="2" t="s">
        <v>61</v>
      </c>
      <c r="B9" s="2" t="s">
        <v>47</v>
      </c>
      <c r="C9" s="2">
        <v>30000</v>
      </c>
      <c r="D9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IF</vt:lpstr>
      <vt:lpstr>COUNTIF</vt:lpstr>
      <vt:lpstr>COUNTIFS</vt:lpstr>
      <vt:lpstr>SUMIF</vt:lpstr>
      <vt:lpstr>SUMIFS</vt:lpstr>
      <vt:lpstr>AVERAGEIF</vt:lpstr>
      <vt:lpstr>AVERAGEIFS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gireeshlb888@gmail.com</dc:creator>
  <cp:lastModifiedBy>gireeshlb888@gmail.com</cp:lastModifiedBy>
  <dcterms:created xsi:type="dcterms:W3CDTF">2025-12-13T16:22:25Z</dcterms:created>
  <dcterms:modified xsi:type="dcterms:W3CDTF">2025-12-15T13:00:29Z</dcterms:modified>
</cp:coreProperties>
</file>